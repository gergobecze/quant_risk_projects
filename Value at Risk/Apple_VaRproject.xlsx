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czegergo/Desktop/"/>
    </mc:Choice>
  </mc:AlternateContent>
  <xr:revisionPtr revIDLastSave="0" documentId="13_ncr:1_{FFB6E063-A0BF-2146-B6EC-9A45827F9CA2}" xr6:coauthVersionLast="47" xr6:coauthVersionMax="47" xr10:uidLastSave="{00000000-0000-0000-0000-000000000000}"/>
  <bookViews>
    <workbookView xWindow="0" yWindow="600" windowWidth="28800" windowHeight="16140" activeTab="1" xr2:uid="{A36E30D6-5AF6-F34B-8FB7-579F185F7B82}"/>
  </bookViews>
  <sheets>
    <sheet name="Data" sheetId="1" r:id="rId1"/>
    <sheet name="Historical and Parametric VaR" sheetId="2" r:id="rId2"/>
    <sheet name="Chart" sheetId="3" r:id="rId3"/>
  </sheets>
  <definedNames>
    <definedName name="_xlnm._FilterDatabase" localSheetId="0" hidden="1">Data!$A$1:$C$1256</definedName>
    <definedName name="aapl_us_d" localSheetId="0">Data!$A$1:$B$1256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39" i="2" s="1"/>
  <c r="E40" i="2" s="1"/>
  <c r="E41" i="2" s="1"/>
  <c r="F38" i="2"/>
  <c r="F39" i="2" s="1"/>
  <c r="F40" i="2" s="1"/>
  <c r="D38" i="2"/>
  <c r="D39" i="2" s="1"/>
  <c r="D40" i="2" s="1"/>
  <c r="C38" i="2"/>
  <c r="C39" i="2" s="1"/>
  <c r="C40" i="2" s="1"/>
  <c r="C41" i="2" s="1"/>
  <c r="M15" i="1"/>
  <c r="L15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252" i="1"/>
  <c r="D31" i="2"/>
  <c r="E31" i="2"/>
  <c r="F31" i="2"/>
  <c r="C31" i="2"/>
  <c r="D29" i="2"/>
  <c r="E29" i="2"/>
  <c r="F29" i="2"/>
  <c r="C29" i="2"/>
  <c r="M14" i="1"/>
  <c r="L1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D519" i="1" s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D1107" i="1" s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D41" i="2" l="1"/>
  <c r="F41" i="2"/>
  <c r="D1231" i="1"/>
  <c r="D1161" i="1"/>
  <c r="D1079" i="1"/>
  <c r="D1057" i="1"/>
  <c r="E1057" i="1" s="1"/>
  <c r="D985" i="1"/>
  <c r="F985" i="1" s="1"/>
  <c r="D945" i="1"/>
  <c r="D912" i="1"/>
  <c r="F912" i="1" s="1"/>
  <c r="D801" i="1"/>
  <c r="F801" i="1" s="1"/>
  <c r="D760" i="1"/>
  <c r="D752" i="1"/>
  <c r="D719" i="1"/>
  <c r="D704" i="1"/>
  <c r="F704" i="1" s="1"/>
  <c r="D600" i="1"/>
  <c r="E600" i="1" s="1"/>
  <c r="D561" i="1"/>
  <c r="D503" i="1"/>
  <c r="F503" i="1" s="1"/>
  <c r="D456" i="1"/>
  <c r="F456" i="1" s="1"/>
  <c r="D425" i="1"/>
  <c r="D368" i="1"/>
  <c r="D341" i="1"/>
  <c r="D328" i="1"/>
  <c r="D311" i="1"/>
  <c r="F311" i="1" s="1"/>
  <c r="D254" i="1"/>
  <c r="D1254" i="1"/>
  <c r="E1254" i="1" s="1"/>
  <c r="D1230" i="1"/>
  <c r="E1230" i="1" s="1"/>
  <c r="D1166" i="1"/>
  <c r="D1158" i="1"/>
  <c r="D1142" i="1"/>
  <c r="D1124" i="1"/>
  <c r="D1102" i="1"/>
  <c r="F1102" i="1" s="1"/>
  <c r="D1094" i="1"/>
  <c r="D1078" i="1"/>
  <c r="F1078" i="1" s="1"/>
  <c r="D1070" i="1"/>
  <c r="F1070" i="1" s="1"/>
  <c r="D1062" i="1"/>
  <c r="D1014" i="1"/>
  <c r="D1005" i="1"/>
  <c r="D998" i="1"/>
  <c r="F998" i="1" s="1"/>
  <c r="D966" i="1"/>
  <c r="D934" i="1"/>
  <c r="D918" i="1"/>
  <c r="F918" i="1" s="1"/>
  <c r="D902" i="1"/>
  <c r="E902" i="1" s="1"/>
  <c r="D878" i="1"/>
  <c r="D862" i="1"/>
  <c r="D854" i="1"/>
  <c r="D742" i="1"/>
  <c r="F742" i="1" s="1"/>
  <c r="D726" i="1"/>
  <c r="E726" i="1" s="1"/>
  <c r="D718" i="1"/>
  <c r="D709" i="1"/>
  <c r="F709" i="1" s="1"/>
  <c r="D677" i="1"/>
  <c r="E677" i="1" s="1"/>
  <c r="D662" i="1"/>
  <c r="D589" i="1"/>
  <c r="D550" i="1"/>
  <c r="D469" i="1"/>
  <c r="F469" i="1" s="1"/>
  <c r="D438" i="1"/>
  <c r="F438" i="1" s="1"/>
  <c r="D1199" i="1"/>
  <c r="D1151" i="1"/>
  <c r="E1151" i="1" s="1"/>
  <c r="D833" i="1"/>
  <c r="F833" i="1" s="1"/>
  <c r="D736" i="1"/>
  <c r="D480" i="1"/>
  <c r="D382" i="1"/>
  <c r="D1245" i="1"/>
  <c r="D1197" i="1"/>
  <c r="E1197" i="1" s="1"/>
  <c r="D1181" i="1"/>
  <c r="D1093" i="1"/>
  <c r="E1093" i="1" s="1"/>
  <c r="D1084" i="1"/>
  <c r="E1084" i="1" s="1"/>
  <c r="D1069" i="1"/>
  <c r="D1020" i="1"/>
  <c r="D996" i="1"/>
  <c r="D989" i="1"/>
  <c r="F989" i="1" s="1"/>
  <c r="D949" i="1"/>
  <c r="F949" i="1" s="1"/>
  <c r="D909" i="1"/>
  <c r="D893" i="1"/>
  <c r="E893" i="1" s="1"/>
  <c r="D885" i="1"/>
  <c r="F885" i="1" s="1"/>
  <c r="D861" i="1"/>
  <c r="D845" i="1"/>
  <c r="D1225" i="1"/>
  <c r="D1025" i="1"/>
  <c r="F1025" i="1" s="1"/>
  <c r="D935" i="1"/>
  <c r="F935" i="1" s="1"/>
  <c r="D865" i="1"/>
  <c r="D792" i="1"/>
  <c r="F792" i="1" s="1"/>
  <c r="D625" i="1"/>
  <c r="E625" i="1" s="1"/>
  <c r="D568" i="1"/>
  <c r="D272" i="1"/>
  <c r="D1253" i="1"/>
  <c r="D1188" i="1"/>
  <c r="F1188" i="1" s="1"/>
  <c r="D1244" i="1"/>
  <c r="E1244" i="1" s="1"/>
  <c r="D1209" i="1"/>
  <c r="D1175" i="1"/>
  <c r="E1175" i="1" s="1"/>
  <c r="D1113" i="1"/>
  <c r="F1113" i="1" s="1"/>
  <c r="D1049" i="1"/>
  <c r="D961" i="1"/>
  <c r="D777" i="1"/>
  <c r="D608" i="1"/>
  <c r="D413" i="1"/>
  <c r="F413" i="1" s="1"/>
  <c r="D1239" i="1"/>
  <c r="D1226" i="1"/>
  <c r="F1226" i="1" s="1"/>
  <c r="D1203" i="1"/>
  <c r="E1203" i="1" s="1"/>
  <c r="D1195" i="1"/>
  <c r="D1186" i="1"/>
  <c r="D1145" i="1"/>
  <c r="D1139" i="1"/>
  <c r="F1139" i="1" s="1"/>
  <c r="D1130" i="1"/>
  <c r="E1130" i="1" s="1"/>
  <c r="D1122" i="1"/>
  <c r="D1115" i="1"/>
  <c r="F1115" i="1" s="1"/>
  <c r="D1098" i="1"/>
  <c r="E1098" i="1" s="1"/>
  <c r="D1058" i="1"/>
  <c r="D1051" i="1"/>
  <c r="D1042" i="1"/>
  <c r="D1034" i="1"/>
  <c r="D1011" i="1"/>
  <c r="E1011" i="1" s="1"/>
  <c r="D978" i="1"/>
  <c r="D887" i="1"/>
  <c r="E887" i="1" s="1"/>
  <c r="D866" i="1"/>
  <c r="E866" i="1" s="1"/>
  <c r="D850" i="1"/>
  <c r="D843" i="1"/>
  <c r="D835" i="1"/>
  <c r="D825" i="1"/>
  <c r="F825" i="1" s="1"/>
  <c r="D818" i="1"/>
  <c r="F818" i="1" s="1"/>
  <c r="D811" i="1"/>
  <c r="D787" i="1"/>
  <c r="E787" i="1" s="1"/>
  <c r="D768" i="1"/>
  <c r="E768" i="1" s="1"/>
  <c r="D667" i="1"/>
  <c r="D651" i="1"/>
  <c r="D642" i="1"/>
  <c r="D634" i="1"/>
  <c r="D626" i="1"/>
  <c r="F626" i="1" s="1"/>
  <c r="D619" i="1"/>
  <c r="D609" i="1"/>
  <c r="F609" i="1" s="1"/>
  <c r="D578" i="1"/>
  <c r="F578" i="1" s="1"/>
  <c r="D571" i="1"/>
  <c r="D560" i="1"/>
  <c r="D552" i="1"/>
  <c r="D528" i="1"/>
  <c r="D512" i="1"/>
  <c r="E512" i="1" s="1"/>
  <c r="D506" i="1"/>
  <c r="D481" i="1"/>
  <c r="F481" i="1" s="1"/>
  <c r="D434" i="1"/>
  <c r="E434" i="1" s="1"/>
  <c r="D424" i="1"/>
  <c r="D414" i="1"/>
  <c r="D391" i="1"/>
  <c r="D378" i="1"/>
  <c r="E378" i="1" s="1"/>
  <c r="D369" i="1"/>
  <c r="F369" i="1" s="1"/>
  <c r="D342" i="1"/>
  <c r="D327" i="1"/>
  <c r="F327" i="1" s="1"/>
  <c r="D314" i="1"/>
  <c r="E314" i="1" s="1"/>
  <c r="D285" i="1"/>
  <c r="D269" i="1"/>
  <c r="D252" i="1"/>
  <c r="F1199" i="1"/>
  <c r="E1199" i="1"/>
  <c r="F961" i="1"/>
  <c r="E961" i="1"/>
  <c r="E719" i="1"/>
  <c r="F719" i="1"/>
  <c r="E480" i="1"/>
  <c r="F480" i="1"/>
  <c r="F1209" i="1"/>
  <c r="E1209" i="1"/>
  <c r="F368" i="1"/>
  <c r="E368" i="1"/>
  <c r="F341" i="1"/>
  <c r="E341" i="1"/>
  <c r="E328" i="1"/>
  <c r="F328" i="1"/>
  <c r="E311" i="1"/>
  <c r="F272" i="1"/>
  <c r="E272" i="1"/>
  <c r="F254" i="1"/>
  <c r="E254" i="1"/>
  <c r="F1161" i="1"/>
  <c r="E1161" i="1"/>
  <c r="E1025" i="1"/>
  <c r="F865" i="1"/>
  <c r="E865" i="1"/>
  <c r="F760" i="1"/>
  <c r="E760" i="1"/>
  <c r="F608" i="1"/>
  <c r="E608" i="1"/>
  <c r="F519" i="1"/>
  <c r="E519" i="1"/>
  <c r="F1057" i="1"/>
  <c r="F777" i="1"/>
  <c r="E777" i="1"/>
  <c r="F561" i="1"/>
  <c r="E561" i="1"/>
  <c r="F1254" i="1"/>
  <c r="F1014" i="1"/>
  <c r="E1014" i="1"/>
  <c r="F934" i="1"/>
  <c r="E934" i="1"/>
  <c r="F878" i="1"/>
  <c r="E878" i="1"/>
  <c r="F862" i="1"/>
  <c r="E862" i="1"/>
  <c r="F854" i="1"/>
  <c r="E854" i="1"/>
  <c r="E742" i="1"/>
  <c r="F726" i="1"/>
  <c r="F718" i="1"/>
  <c r="E718" i="1"/>
  <c r="E709" i="1"/>
  <c r="F662" i="1"/>
  <c r="E662" i="1"/>
  <c r="F589" i="1"/>
  <c r="E589" i="1"/>
  <c r="E550" i="1"/>
  <c r="F550" i="1"/>
  <c r="E469" i="1"/>
  <c r="E438" i="1"/>
  <c r="E1231" i="1"/>
  <c r="F1231" i="1"/>
  <c r="F945" i="1"/>
  <c r="E945" i="1"/>
  <c r="F1166" i="1"/>
  <c r="E1166" i="1"/>
  <c r="F1142" i="1"/>
  <c r="E1142" i="1"/>
  <c r="F1094" i="1"/>
  <c r="E1094" i="1"/>
  <c r="F1005" i="1"/>
  <c r="E1005" i="1"/>
  <c r="F1197" i="1"/>
  <c r="F1181" i="1"/>
  <c r="E1181" i="1"/>
  <c r="F1069" i="1"/>
  <c r="E1069" i="1"/>
  <c r="F1020" i="1"/>
  <c r="E1020" i="1"/>
  <c r="F996" i="1"/>
  <c r="E996" i="1"/>
  <c r="F861" i="1"/>
  <c r="E861" i="1"/>
  <c r="F1175" i="1"/>
  <c r="F1049" i="1"/>
  <c r="E1049" i="1"/>
  <c r="E792" i="1"/>
  <c r="E704" i="1"/>
  <c r="F568" i="1"/>
  <c r="E568" i="1"/>
  <c r="F425" i="1"/>
  <c r="E425" i="1"/>
  <c r="F382" i="1"/>
  <c r="E382" i="1"/>
  <c r="F1230" i="1"/>
  <c r="F1158" i="1"/>
  <c r="E1158" i="1"/>
  <c r="E1124" i="1"/>
  <c r="F1124" i="1"/>
  <c r="E1078" i="1"/>
  <c r="F1062" i="1"/>
  <c r="E1062" i="1"/>
  <c r="F966" i="1"/>
  <c r="E966" i="1"/>
  <c r="F902" i="1"/>
  <c r="F1253" i="1"/>
  <c r="E1253" i="1"/>
  <c r="F1245" i="1"/>
  <c r="E1245" i="1"/>
  <c r="E1188" i="1"/>
  <c r="F1093" i="1"/>
  <c r="E949" i="1"/>
  <c r="F909" i="1"/>
  <c r="E909" i="1"/>
  <c r="F893" i="1"/>
  <c r="F845" i="1"/>
  <c r="E845" i="1"/>
  <c r="E1079" i="1"/>
  <c r="F1079" i="1"/>
  <c r="F752" i="1"/>
  <c r="E752" i="1"/>
  <c r="E1226" i="1"/>
  <c r="F1186" i="1"/>
  <c r="E1186" i="1"/>
  <c r="F1130" i="1"/>
  <c r="F1107" i="1"/>
  <c r="E1107" i="1"/>
  <c r="F1051" i="1"/>
  <c r="E1051" i="1"/>
  <c r="F1011" i="1"/>
  <c r="F850" i="1"/>
  <c r="E850" i="1"/>
  <c r="E578" i="1"/>
  <c r="F560" i="1"/>
  <c r="E560" i="1"/>
  <c r="F528" i="1"/>
  <c r="E528" i="1"/>
  <c r="F506" i="1"/>
  <c r="E506" i="1"/>
  <c r="F434" i="1"/>
  <c r="E424" i="1"/>
  <c r="F424" i="1"/>
  <c r="F414" i="1"/>
  <c r="E414" i="1"/>
  <c r="E391" i="1"/>
  <c r="F391" i="1"/>
  <c r="F378" i="1"/>
  <c r="E342" i="1"/>
  <c r="F342" i="1"/>
  <c r="F252" i="1"/>
  <c r="E252" i="1"/>
  <c r="F1225" i="1"/>
  <c r="E1225" i="1"/>
  <c r="F1151" i="1"/>
  <c r="F736" i="1"/>
  <c r="E736" i="1"/>
  <c r="F600" i="1"/>
  <c r="E1239" i="1"/>
  <c r="F1239" i="1"/>
  <c r="F1195" i="1"/>
  <c r="E1195" i="1"/>
  <c r="F1145" i="1"/>
  <c r="E1145" i="1"/>
  <c r="F1122" i="1"/>
  <c r="E1122" i="1"/>
  <c r="E1115" i="1"/>
  <c r="F1058" i="1"/>
  <c r="E1058" i="1"/>
  <c r="F1042" i="1"/>
  <c r="E1042" i="1"/>
  <c r="F1034" i="1"/>
  <c r="E1034" i="1"/>
  <c r="F978" i="1"/>
  <c r="E978" i="1"/>
  <c r="F887" i="1"/>
  <c r="F843" i="1"/>
  <c r="E843" i="1"/>
  <c r="F835" i="1"/>
  <c r="E835" i="1"/>
  <c r="F811" i="1"/>
  <c r="E811" i="1"/>
  <c r="F667" i="1"/>
  <c r="E667" i="1"/>
  <c r="E651" i="1"/>
  <c r="F651" i="1"/>
  <c r="F642" i="1"/>
  <c r="E642" i="1"/>
  <c r="E634" i="1"/>
  <c r="F634" i="1"/>
  <c r="F619" i="1"/>
  <c r="E619" i="1"/>
  <c r="F571" i="1"/>
  <c r="E571" i="1"/>
  <c r="F552" i="1"/>
  <c r="E552" i="1"/>
  <c r="F512" i="1"/>
  <c r="E369" i="1"/>
  <c r="E327" i="1"/>
  <c r="F314" i="1"/>
  <c r="F285" i="1"/>
  <c r="E285" i="1"/>
  <c r="F269" i="1"/>
  <c r="E269" i="1"/>
  <c r="D1251" i="1"/>
  <c r="D1250" i="1"/>
  <c r="D1219" i="1"/>
  <c r="D1170" i="1"/>
  <c r="D1082" i="1"/>
  <c r="D1083" i="1"/>
  <c r="D1027" i="1"/>
  <c r="D995" i="1"/>
  <c r="D994" i="1"/>
  <c r="D971" i="1"/>
  <c r="D962" i="1"/>
  <c r="D963" i="1"/>
  <c r="D947" i="1"/>
  <c r="D923" i="1"/>
  <c r="D915" i="1"/>
  <c r="D914" i="1"/>
  <c r="D906" i="1"/>
  <c r="D907" i="1"/>
  <c r="D883" i="1"/>
  <c r="D874" i="1"/>
  <c r="D859" i="1"/>
  <c r="D803" i="1"/>
  <c r="D779" i="1"/>
  <c r="D763" i="1"/>
  <c r="D762" i="1"/>
  <c r="D747" i="1"/>
  <c r="D746" i="1"/>
  <c r="D739" i="1"/>
  <c r="D738" i="1"/>
  <c r="D723" i="1"/>
  <c r="D698" i="1"/>
  <c r="D1246" i="1"/>
  <c r="D1238" i="1"/>
  <c r="D1222" i="1"/>
  <c r="D1214" i="1"/>
  <c r="D1206" i="1"/>
  <c r="D1198" i="1"/>
  <c r="D1190" i="1"/>
  <c r="D1182" i="1"/>
  <c r="D1174" i="1"/>
  <c r="D1150" i="1"/>
  <c r="D1134" i="1"/>
  <c r="D1118" i="1"/>
  <c r="D1110" i="1"/>
  <c r="D1086" i="1"/>
  <c r="D1054" i="1"/>
  <c r="D1046" i="1"/>
  <c r="D1038" i="1"/>
  <c r="D1030" i="1"/>
  <c r="D1022" i="1"/>
  <c r="D990" i="1"/>
  <c r="D982" i="1"/>
  <c r="D974" i="1"/>
  <c r="D958" i="1"/>
  <c r="D950" i="1"/>
  <c r="D942" i="1"/>
  <c r="D926" i="1"/>
  <c r="D910" i="1"/>
  <c r="D894" i="1"/>
  <c r="D886" i="1"/>
  <c r="D870" i="1"/>
  <c r="D846" i="1"/>
  <c r="D838" i="1"/>
  <c r="D830" i="1"/>
  <c r="D822" i="1"/>
  <c r="D814" i="1"/>
  <c r="D806" i="1"/>
  <c r="D798" i="1"/>
  <c r="D790" i="1"/>
  <c r="D782" i="1"/>
  <c r="D774" i="1"/>
  <c r="D766" i="1"/>
  <c r="D758" i="1"/>
  <c r="D750" i="1"/>
  <c r="D734" i="1"/>
  <c r="D702" i="1"/>
  <c r="D694" i="1"/>
  <c r="D686" i="1"/>
  <c r="D670" i="1"/>
  <c r="D654" i="1"/>
  <c r="D646" i="1"/>
  <c r="D638" i="1"/>
  <c r="D630" i="1"/>
  <c r="D622" i="1"/>
  <c r="D614" i="1"/>
  <c r="D606" i="1"/>
  <c r="D597" i="1"/>
  <c r="D582" i="1"/>
  <c r="D574" i="1"/>
  <c r="D566" i="1"/>
  <c r="D558" i="1"/>
  <c r="D542" i="1"/>
  <c r="D534" i="1"/>
  <c r="D526" i="1"/>
  <c r="D518" i="1"/>
  <c r="D510" i="1"/>
  <c r="D502" i="1"/>
  <c r="D494" i="1"/>
  <c r="D486" i="1"/>
  <c r="D478" i="1"/>
  <c r="D462" i="1"/>
  <c r="D454" i="1"/>
  <c r="D446" i="1"/>
  <c r="D430" i="1"/>
  <c r="D390" i="1"/>
  <c r="D374" i="1"/>
  <c r="D318" i="1"/>
  <c r="D262" i="1"/>
  <c r="D1249" i="1"/>
  <c r="D1180" i="1"/>
  <c r="D1157" i="1"/>
  <c r="D1131" i="1"/>
  <c r="D1108" i="1"/>
  <c r="D1085" i="1"/>
  <c r="D1039" i="1"/>
  <c r="D993" i="1"/>
  <c r="D969" i="1"/>
  <c r="D944" i="1"/>
  <c r="D917" i="1"/>
  <c r="D834" i="1"/>
  <c r="D809" i="1"/>
  <c r="D778" i="1"/>
  <c r="D745" i="1"/>
  <c r="D710" i="1"/>
  <c r="D678" i="1"/>
  <c r="D645" i="1"/>
  <c r="D392" i="1"/>
  <c r="D286" i="1"/>
  <c r="D1237" i="1"/>
  <c r="D1229" i="1"/>
  <c r="D1221" i="1"/>
  <c r="D1213" i="1"/>
  <c r="D1205" i="1"/>
  <c r="D1173" i="1"/>
  <c r="D1165" i="1"/>
  <c r="D1149" i="1"/>
  <c r="D1141" i="1"/>
  <c r="D1133" i="1"/>
  <c r="D1125" i="1"/>
  <c r="D1117" i="1"/>
  <c r="D1109" i="1"/>
  <c r="D1101" i="1"/>
  <c r="D1077" i="1"/>
  <c r="D1061" i="1"/>
  <c r="D1045" i="1"/>
  <c r="D1037" i="1"/>
  <c r="D1013" i="1"/>
  <c r="D981" i="1"/>
  <c r="D973" i="1"/>
  <c r="D965" i="1"/>
  <c r="D957" i="1"/>
  <c r="D941" i="1"/>
  <c r="D933" i="1"/>
  <c r="D925" i="1"/>
  <c r="D901" i="1"/>
  <c r="D877" i="1"/>
  <c r="D869" i="1"/>
  <c r="D853" i="1"/>
  <c r="D805" i="1"/>
  <c r="D789" i="1"/>
  <c r="D781" i="1"/>
  <c r="D773" i="1"/>
  <c r="D757" i="1"/>
  <c r="D741" i="1"/>
  <c r="D725" i="1"/>
  <c r="D637" i="1"/>
  <c r="D605" i="1"/>
  <c r="D573" i="1"/>
  <c r="D565" i="1"/>
  <c r="D533" i="1"/>
  <c r="D477" i="1"/>
  <c r="D253" i="1"/>
  <c r="D1153" i="1"/>
  <c r="D1035" i="1"/>
  <c r="D1012" i="1"/>
  <c r="D937" i="1"/>
  <c r="D802" i="1"/>
  <c r="D525" i="1"/>
  <c r="D1252" i="1"/>
  <c r="D1236" i="1"/>
  <c r="D1148" i="1"/>
  <c r="D1140" i="1"/>
  <c r="D1076" i="1"/>
  <c r="D1060" i="1"/>
  <c r="D1052" i="1"/>
  <c r="D1044" i="1"/>
  <c r="D988" i="1"/>
  <c r="D1218" i="1"/>
  <c r="D1172" i="1"/>
  <c r="D1126" i="1"/>
  <c r="D882" i="1"/>
  <c r="D829" i="1"/>
  <c r="D770" i="1"/>
  <c r="D669" i="1"/>
  <c r="D635" i="1"/>
  <c r="D470" i="1"/>
  <c r="D1235" i="1"/>
  <c r="D1210" i="1"/>
  <c r="D1211" i="1"/>
  <c r="D1179" i="1"/>
  <c r="D1106" i="1"/>
  <c r="D1091" i="1"/>
  <c r="D1090" i="1"/>
  <c r="D1075" i="1"/>
  <c r="D987" i="1"/>
  <c r="D955" i="1"/>
  <c r="D931" i="1"/>
  <c r="D899" i="1"/>
  <c r="D1241" i="1"/>
  <c r="D1217" i="1"/>
  <c r="D1171" i="1"/>
  <c r="D1099" i="1"/>
  <c r="D1053" i="1"/>
  <c r="D1029" i="1"/>
  <c r="D1006" i="1"/>
  <c r="D983" i="1"/>
  <c r="D960" i="1"/>
  <c r="D903" i="1"/>
  <c r="D851" i="1"/>
  <c r="D799" i="1"/>
  <c r="D735" i="1"/>
  <c r="D699" i="1"/>
  <c r="D598" i="1"/>
  <c r="D795" i="1"/>
  <c r="D771" i="1"/>
  <c r="D755" i="1"/>
  <c r="D731" i="1"/>
  <c r="D714" i="1"/>
  <c r="D715" i="1"/>
  <c r="D707" i="1"/>
  <c r="D691" i="1"/>
  <c r="D659" i="1"/>
  <c r="D643" i="1"/>
  <c r="D587" i="1"/>
  <c r="D586" i="1"/>
  <c r="D928" i="1"/>
  <c r="D875" i="1"/>
  <c r="D819" i="1"/>
  <c r="D793" i="1"/>
  <c r="D761" i="1"/>
  <c r="D728" i="1"/>
  <c r="D695" i="1"/>
  <c r="D590" i="1"/>
  <c r="D461" i="1"/>
  <c r="D255" i="1"/>
  <c r="D1227" i="1"/>
  <c r="D1194" i="1"/>
  <c r="D1162" i="1"/>
  <c r="D1163" i="1"/>
  <c r="D1146" i="1"/>
  <c r="D1147" i="1"/>
  <c r="D1059" i="1"/>
  <c r="D1018" i="1"/>
  <c r="D1019" i="1"/>
  <c r="D891" i="1"/>
  <c r="D827" i="1"/>
  <c r="D675" i="1"/>
  <c r="D627" i="1"/>
  <c r="D603" i="1"/>
  <c r="D547" i="1"/>
  <c r="D523" i="1"/>
  <c r="D522" i="1"/>
  <c r="D323" i="1"/>
  <c r="D307" i="1"/>
  <c r="D306" i="1"/>
  <c r="D283" i="1"/>
  <c r="D282" i="1"/>
  <c r="D1041" i="1"/>
  <c r="D1001" i="1"/>
  <c r="D977" i="1"/>
  <c r="D953" i="1"/>
  <c r="D929" i="1"/>
  <c r="D905" i="1"/>
  <c r="D881" i="1"/>
  <c r="D817" i="1"/>
  <c r="D713" i="1"/>
  <c r="D689" i="1"/>
  <c r="D665" i="1"/>
  <c r="D649" i="1"/>
  <c r="D647" i="1"/>
  <c r="D633" i="1"/>
  <c r="D632" i="1"/>
  <c r="D617" i="1"/>
  <c r="D615" i="1"/>
  <c r="D577" i="1"/>
  <c r="D545" i="1"/>
  <c r="D521" i="1"/>
  <c r="D497" i="1"/>
  <c r="D449" i="1"/>
  <c r="D345" i="1"/>
  <c r="D1116" i="1"/>
  <c r="D951" i="1"/>
  <c r="D927" i="1"/>
  <c r="D898" i="1"/>
  <c r="D693" i="1"/>
  <c r="D658" i="1"/>
  <c r="D1002" i="1"/>
  <c r="D1003" i="1"/>
  <c r="D563" i="1"/>
  <c r="D555" i="1"/>
  <c r="D554" i="1"/>
  <c r="D539" i="1"/>
  <c r="D531" i="1"/>
  <c r="D507" i="1"/>
  <c r="D499" i="1"/>
  <c r="D498" i="1"/>
  <c r="D491" i="1"/>
  <c r="D483" i="1"/>
  <c r="D475" i="1"/>
  <c r="D467" i="1"/>
  <c r="D466" i="1"/>
  <c r="D459" i="1"/>
  <c r="D451" i="1"/>
  <c r="D443" i="1"/>
  <c r="D442" i="1"/>
  <c r="D435" i="1"/>
  <c r="D427" i="1"/>
  <c r="D426" i="1"/>
  <c r="D419" i="1"/>
  <c r="D411" i="1"/>
  <c r="D410" i="1"/>
  <c r="D403" i="1"/>
  <c r="D395" i="1"/>
  <c r="D394" i="1"/>
  <c r="D387" i="1"/>
  <c r="D379" i="1"/>
  <c r="D371" i="1"/>
  <c r="D370" i="1"/>
  <c r="D363" i="1"/>
  <c r="D362" i="1"/>
  <c r="D355" i="1"/>
  <c r="D339" i="1"/>
  <c r="D338" i="1"/>
  <c r="D331" i="1"/>
  <c r="D315" i="1"/>
  <c r="D299" i="1"/>
  <c r="D291" i="1"/>
  <c r="D275" i="1"/>
  <c r="D267" i="1"/>
  <c r="D266" i="1"/>
  <c r="D1242" i="1"/>
  <c r="D1202" i="1"/>
  <c r="D1178" i="1"/>
  <c r="D1138" i="1"/>
  <c r="D1114" i="1"/>
  <c r="D1074" i="1"/>
  <c r="D1050" i="1"/>
  <c r="D1010" i="1"/>
  <c r="D986" i="1"/>
  <c r="D946" i="1"/>
  <c r="D930" i="1"/>
  <c r="D890" i="1"/>
  <c r="D842" i="1"/>
  <c r="D826" i="1"/>
  <c r="D810" i="1"/>
  <c r="D786" i="1"/>
  <c r="D754" i="1"/>
  <c r="D722" i="1"/>
  <c r="D706" i="1"/>
  <c r="D690" i="1"/>
  <c r="D674" i="1"/>
  <c r="D650" i="1"/>
  <c r="D618" i="1"/>
  <c r="D610" i="1"/>
  <c r="D570" i="1"/>
  <c r="D562" i="1"/>
  <c r="D530" i="1"/>
  <c r="D474" i="1"/>
  <c r="D458" i="1"/>
  <c r="D402" i="1"/>
  <c r="D346" i="1"/>
  <c r="D330" i="1"/>
  <c r="D274" i="1"/>
  <c r="D1215" i="1"/>
  <c r="D1189" i="1"/>
  <c r="D1167" i="1"/>
  <c r="D1143" i="1"/>
  <c r="D1071" i="1"/>
  <c r="D1026" i="1"/>
  <c r="D980" i="1"/>
  <c r="D954" i="1"/>
  <c r="D1033" i="1"/>
  <c r="D1017" i="1"/>
  <c r="D1009" i="1"/>
  <c r="D921" i="1"/>
  <c r="D913" i="1"/>
  <c r="D897" i="1"/>
  <c r="D889" i="1"/>
  <c r="D873" i="1"/>
  <c r="D849" i="1"/>
  <c r="D489" i="1"/>
  <c r="D473" i="1"/>
  <c r="D457" i="1"/>
  <c r="D441" i="1"/>
  <c r="D433" i="1"/>
  <c r="D422" i="1"/>
  <c r="D417" i="1"/>
  <c r="D409" i="1"/>
  <c r="D401" i="1"/>
  <c r="D397" i="1"/>
  <c r="D393" i="1"/>
  <c r="D385" i="1"/>
  <c r="D377" i="1"/>
  <c r="D375" i="1"/>
  <c r="D361" i="1"/>
  <c r="D352" i="1"/>
  <c r="D337" i="1"/>
  <c r="D329" i="1"/>
  <c r="D326" i="1"/>
  <c r="D321" i="1"/>
  <c r="D313" i="1"/>
  <c r="D305" i="1"/>
  <c r="D296" i="1"/>
  <c r="D289" i="1"/>
  <c r="D281" i="1"/>
  <c r="D273" i="1"/>
  <c r="D265" i="1"/>
  <c r="D257" i="1"/>
  <c r="D1234" i="1"/>
  <c r="D1212" i="1"/>
  <c r="D624" i="1"/>
  <c r="D520" i="1"/>
  <c r="D464" i="1"/>
  <c r="D455" i="1"/>
  <c r="D383" i="1"/>
  <c r="D350" i="1"/>
  <c r="D336" i="1"/>
  <c r="D294" i="1"/>
  <c r="D1043" i="1"/>
  <c r="D1021" i="1"/>
  <c r="D997" i="1"/>
  <c r="D975" i="1"/>
  <c r="D919" i="1"/>
  <c r="D896" i="1"/>
  <c r="D815" i="1"/>
  <c r="D687" i="1"/>
  <c r="D653" i="1"/>
  <c r="D579" i="1"/>
  <c r="D541" i="1"/>
  <c r="D496" i="1"/>
  <c r="D448" i="1"/>
  <c r="D405" i="1"/>
  <c r="D358" i="1"/>
  <c r="D298" i="1"/>
  <c r="D1243" i="1"/>
  <c r="D1187" i="1"/>
  <c r="D1155" i="1"/>
  <c r="D1154" i="1"/>
  <c r="D1123" i="1"/>
  <c r="D1067" i="1"/>
  <c r="D979" i="1"/>
  <c r="D938" i="1"/>
  <c r="D939" i="1"/>
  <c r="D867" i="1"/>
  <c r="D682" i="1"/>
  <c r="D611" i="1"/>
  <c r="D595" i="1"/>
  <c r="D515" i="1"/>
  <c r="D347" i="1"/>
  <c r="D259" i="1"/>
  <c r="D1233" i="1"/>
  <c r="D1201" i="1"/>
  <c r="D1193" i="1"/>
  <c r="D1185" i="1"/>
  <c r="D1177" i="1"/>
  <c r="D1169" i="1"/>
  <c r="D1137" i="1"/>
  <c r="D1129" i="1"/>
  <c r="D1121" i="1"/>
  <c r="D1105" i="1"/>
  <c r="D1097" i="1"/>
  <c r="D1089" i="1"/>
  <c r="D1081" i="1"/>
  <c r="D1073" i="1"/>
  <c r="D1065" i="1"/>
  <c r="D857" i="1"/>
  <c r="D841" i="1"/>
  <c r="D785" i="1"/>
  <c r="D769" i="1"/>
  <c r="D753" i="1"/>
  <c r="D737" i="1"/>
  <c r="D729" i="1"/>
  <c r="D721" i="1"/>
  <c r="D705" i="1"/>
  <c r="D697" i="1"/>
  <c r="D681" i="1"/>
  <c r="D673" i="1"/>
  <c r="D657" i="1"/>
  <c r="D641" i="1"/>
  <c r="D601" i="1"/>
  <c r="D593" i="1"/>
  <c r="D585" i="1"/>
  <c r="D569" i="1"/>
  <c r="D553" i="1"/>
  <c r="D537" i="1"/>
  <c r="D529" i="1"/>
  <c r="D513" i="1"/>
  <c r="D511" i="1"/>
  <c r="D505" i="1"/>
  <c r="D465" i="1"/>
  <c r="D871" i="1"/>
  <c r="D888" i="1"/>
  <c r="D872" i="1"/>
  <c r="D864" i="1"/>
  <c r="D855" i="1"/>
  <c r="D823" i="1"/>
  <c r="D808" i="1"/>
  <c r="D791" i="1"/>
  <c r="D720" i="1"/>
  <c r="D688" i="1"/>
  <c r="D672" i="1"/>
  <c r="D655" i="1"/>
  <c r="D631" i="1"/>
  <c r="D1247" i="1"/>
  <c r="D1223" i="1"/>
  <c r="D1183" i="1"/>
  <c r="D1159" i="1"/>
  <c r="D1119" i="1"/>
  <c r="D1095" i="1"/>
  <c r="D1055" i="1"/>
  <c r="D1031" i="1"/>
  <c r="D991" i="1"/>
  <c r="D967" i="1"/>
  <c r="D943" i="1"/>
  <c r="D911" i="1"/>
  <c r="D879" i="1"/>
  <c r="D863" i="1"/>
  <c r="D847" i="1"/>
  <c r="D807" i="1"/>
  <c r="D775" i="1"/>
  <c r="D759" i="1"/>
  <c r="D727" i="1"/>
  <c r="D671" i="1"/>
  <c r="D623" i="1"/>
  <c r="D607" i="1"/>
  <c r="D599" i="1"/>
  <c r="D559" i="1"/>
  <c r="D551" i="1"/>
  <c r="D535" i="1"/>
  <c r="D479" i="1"/>
  <c r="D423" i="1"/>
  <c r="D407" i="1"/>
  <c r="D359" i="1"/>
  <c r="D351" i="1"/>
  <c r="D343" i="1"/>
  <c r="D295" i="1"/>
  <c r="D287" i="1"/>
  <c r="D279" i="1"/>
  <c r="D1204" i="1"/>
  <c r="D1135" i="1"/>
  <c r="D1087" i="1"/>
  <c r="D1066" i="1"/>
  <c r="D970" i="1"/>
  <c r="D783" i="1"/>
  <c r="D751" i="1"/>
  <c r="D683" i="1"/>
  <c r="D616" i="1"/>
  <c r="D538" i="1"/>
  <c r="D490" i="1"/>
  <c r="D447" i="1"/>
  <c r="D400" i="1"/>
  <c r="D353" i="1"/>
  <c r="D297" i="1"/>
  <c r="D1256" i="1"/>
  <c r="D1255" i="1"/>
  <c r="D1248" i="1"/>
  <c r="D1240" i="1"/>
  <c r="D1232" i="1"/>
  <c r="D1224" i="1"/>
  <c r="D1216" i="1"/>
  <c r="D1208" i="1"/>
  <c r="D1200" i="1"/>
  <c r="D1192" i="1"/>
  <c r="D1191" i="1"/>
  <c r="D1184" i="1"/>
  <c r="D1176" i="1"/>
  <c r="D1168" i="1"/>
  <c r="D1160" i="1"/>
  <c r="D1152" i="1"/>
  <c r="D1144" i="1"/>
  <c r="D1136" i="1"/>
  <c r="D1128" i="1"/>
  <c r="D1127" i="1"/>
  <c r="D1120" i="1"/>
  <c r="D1112" i="1"/>
  <c r="D1104" i="1"/>
  <c r="D1096" i="1"/>
  <c r="D1088" i="1"/>
  <c r="D1080" i="1"/>
  <c r="D1072" i="1"/>
  <c r="D1064" i="1"/>
  <c r="D1063" i="1"/>
  <c r="D1056" i="1"/>
  <c r="D1048" i="1"/>
  <c r="D1040" i="1"/>
  <c r="D1032" i="1"/>
  <c r="D1024" i="1"/>
  <c r="D1016" i="1"/>
  <c r="D1008" i="1"/>
  <c r="D1000" i="1"/>
  <c r="D999" i="1"/>
  <c r="D992" i="1"/>
  <c r="D984" i="1"/>
  <c r="D976" i="1"/>
  <c r="D968" i="1"/>
  <c r="D952" i="1"/>
  <c r="D936" i="1"/>
  <c r="D920" i="1"/>
  <c r="D904" i="1"/>
  <c r="D880" i="1"/>
  <c r="D848" i="1"/>
  <c r="D840" i="1"/>
  <c r="D832" i="1"/>
  <c r="D816" i="1"/>
  <c r="D800" i="1"/>
  <c r="D784" i="1"/>
  <c r="D776" i="1"/>
  <c r="D743" i="1"/>
  <c r="D744" i="1"/>
  <c r="D712" i="1"/>
  <c r="D711" i="1"/>
  <c r="D696" i="1"/>
  <c r="D680" i="1"/>
  <c r="D664" i="1"/>
  <c r="D648" i="1"/>
  <c r="D640" i="1"/>
  <c r="D592" i="1"/>
  <c r="D584" i="1"/>
  <c r="D576" i="1"/>
  <c r="D543" i="1"/>
  <c r="D544" i="1"/>
  <c r="D536" i="1"/>
  <c r="D504" i="1"/>
  <c r="D487" i="1"/>
  <c r="D488" i="1"/>
  <c r="D472" i="1"/>
  <c r="D471" i="1"/>
  <c r="D440" i="1"/>
  <c r="D432" i="1"/>
  <c r="D415" i="1"/>
  <c r="D416" i="1"/>
  <c r="D408" i="1"/>
  <c r="D376" i="1"/>
  <c r="D360" i="1"/>
  <c r="D344" i="1"/>
  <c r="D319" i="1"/>
  <c r="D312" i="1"/>
  <c r="D304" i="1"/>
  <c r="D288" i="1"/>
  <c r="D280" i="1"/>
  <c r="D263" i="1"/>
  <c r="D256" i="1"/>
  <c r="D1111" i="1"/>
  <c r="D1023" i="1"/>
  <c r="D1007" i="1"/>
  <c r="D679" i="1"/>
  <c r="D663" i="1"/>
  <c r="D591" i="1"/>
  <c r="D439" i="1"/>
  <c r="D320" i="1"/>
  <c r="D264" i="1"/>
  <c r="D837" i="1"/>
  <c r="D821" i="1"/>
  <c r="D813" i="1"/>
  <c r="D797" i="1"/>
  <c r="D765" i="1"/>
  <c r="D749" i="1"/>
  <c r="D733" i="1"/>
  <c r="D717" i="1"/>
  <c r="D701" i="1"/>
  <c r="D685" i="1"/>
  <c r="D661" i="1"/>
  <c r="D629" i="1"/>
  <c r="D621" i="1"/>
  <c r="D613" i="1"/>
  <c r="D581" i="1"/>
  <c r="D557" i="1"/>
  <c r="D549" i="1"/>
  <c r="D517" i="1"/>
  <c r="D509" i="1"/>
  <c r="D501" i="1"/>
  <c r="D493" i="1"/>
  <c r="D485" i="1"/>
  <c r="D453" i="1"/>
  <c r="D445" i="1"/>
  <c r="D437" i="1"/>
  <c r="D429" i="1"/>
  <c r="D421" i="1"/>
  <c r="D389" i="1"/>
  <c r="D381" i="1"/>
  <c r="D373" i="1"/>
  <c r="D365" i="1"/>
  <c r="D357" i="1"/>
  <c r="D349" i="1"/>
  <c r="D333" i="1"/>
  <c r="D325" i="1"/>
  <c r="D317" i="1"/>
  <c r="D309" i="1"/>
  <c r="D301" i="1"/>
  <c r="D293" i="1"/>
  <c r="D277" i="1"/>
  <c r="D261" i="1"/>
  <c r="D1207" i="1"/>
  <c r="D1047" i="1"/>
  <c r="D856" i="1"/>
  <c r="D824" i="1"/>
  <c r="D656" i="1"/>
  <c r="D384" i="1"/>
  <c r="D310" i="1"/>
  <c r="D1228" i="1"/>
  <c r="D1220" i="1"/>
  <c r="D1196" i="1"/>
  <c r="D1164" i="1"/>
  <c r="D1156" i="1"/>
  <c r="D1132" i="1"/>
  <c r="D1100" i="1"/>
  <c r="D1092" i="1"/>
  <c r="D1068" i="1"/>
  <c r="D1036" i="1"/>
  <c r="D1028" i="1"/>
  <c r="D1004" i="1"/>
  <c r="D972" i="1"/>
  <c r="D964" i="1"/>
  <c r="D956" i="1"/>
  <c r="D948" i="1"/>
  <c r="D940" i="1"/>
  <c r="D932" i="1"/>
  <c r="D924" i="1"/>
  <c r="D916" i="1"/>
  <c r="D908" i="1"/>
  <c r="D900" i="1"/>
  <c r="D892" i="1"/>
  <c r="D884" i="1"/>
  <c r="D876" i="1"/>
  <c r="D868" i="1"/>
  <c r="D860" i="1"/>
  <c r="D852" i="1"/>
  <c r="D844" i="1"/>
  <c r="D836" i="1"/>
  <c r="D828" i="1"/>
  <c r="D820" i="1"/>
  <c r="D812" i="1"/>
  <c r="D804" i="1"/>
  <c r="D796" i="1"/>
  <c r="D788" i="1"/>
  <c r="D780" i="1"/>
  <c r="D772" i="1"/>
  <c r="D764" i="1"/>
  <c r="D756" i="1"/>
  <c r="D748" i="1"/>
  <c r="D740" i="1"/>
  <c r="D732" i="1"/>
  <c r="D724" i="1"/>
  <c r="D716" i="1"/>
  <c r="D708" i="1"/>
  <c r="D700" i="1"/>
  <c r="D692" i="1"/>
  <c r="D684" i="1"/>
  <c r="D676" i="1"/>
  <c r="D668" i="1"/>
  <c r="D660" i="1"/>
  <c r="D652" i="1"/>
  <c r="D644" i="1"/>
  <c r="D636" i="1"/>
  <c r="D628" i="1"/>
  <c r="D620" i="1"/>
  <c r="D612" i="1"/>
  <c r="D604" i="1"/>
  <c r="D596" i="1"/>
  <c r="D588" i="1"/>
  <c r="D580" i="1"/>
  <c r="D572" i="1"/>
  <c r="D564" i="1"/>
  <c r="D556" i="1"/>
  <c r="D548" i="1"/>
  <c r="D540" i="1"/>
  <c r="D532" i="1"/>
  <c r="D524" i="1"/>
  <c r="D516" i="1"/>
  <c r="D508" i="1"/>
  <c r="D500" i="1"/>
  <c r="D492" i="1"/>
  <c r="D484" i="1"/>
  <c r="D476" i="1"/>
  <c r="D468" i="1"/>
  <c r="D460" i="1"/>
  <c r="D452" i="1"/>
  <c r="D444" i="1"/>
  <c r="D436" i="1"/>
  <c r="D428" i="1"/>
  <c r="D420" i="1"/>
  <c r="D412" i="1"/>
  <c r="D404" i="1"/>
  <c r="D396" i="1"/>
  <c r="D388" i="1"/>
  <c r="D380" i="1"/>
  <c r="D372" i="1"/>
  <c r="D364" i="1"/>
  <c r="D356" i="1"/>
  <c r="D348" i="1"/>
  <c r="D340" i="1"/>
  <c r="D332" i="1"/>
  <c r="D324" i="1"/>
  <c r="D316" i="1"/>
  <c r="D308" i="1"/>
  <c r="D300" i="1"/>
  <c r="D292" i="1"/>
  <c r="D284" i="1"/>
  <c r="D276" i="1"/>
  <c r="D268" i="1"/>
  <c r="D260" i="1"/>
  <c r="D1103" i="1"/>
  <c r="D1015" i="1"/>
  <c r="D839" i="1"/>
  <c r="D583" i="1"/>
  <c r="D406" i="1"/>
  <c r="D278" i="1"/>
  <c r="D959" i="1"/>
  <c r="D895" i="1"/>
  <c r="D831" i="1"/>
  <c r="D767" i="1"/>
  <c r="D703" i="1"/>
  <c r="D639" i="1"/>
  <c r="D575" i="1"/>
  <c r="D567" i="1"/>
  <c r="D527" i="1"/>
  <c r="D495" i="1"/>
  <c r="D463" i="1"/>
  <c r="D431" i="1"/>
  <c r="D399" i="1"/>
  <c r="D367" i="1"/>
  <c r="D335" i="1"/>
  <c r="D303" i="1"/>
  <c r="D271" i="1"/>
  <c r="D398" i="1"/>
  <c r="D366" i="1"/>
  <c r="D334" i="1"/>
  <c r="D302" i="1"/>
  <c r="D270" i="1"/>
  <c r="D922" i="1"/>
  <c r="D858" i="1"/>
  <c r="D794" i="1"/>
  <c r="D730" i="1"/>
  <c r="D666" i="1"/>
  <c r="D602" i="1"/>
  <c r="D594" i="1"/>
  <c r="D546" i="1"/>
  <c r="D514" i="1"/>
  <c r="D482" i="1"/>
  <c r="D450" i="1"/>
  <c r="D418" i="1"/>
  <c r="D386" i="1"/>
  <c r="D354" i="1"/>
  <c r="D322" i="1"/>
  <c r="D290" i="1"/>
  <c r="D258" i="1"/>
  <c r="L13" i="1"/>
  <c r="M13" i="1" s="1"/>
  <c r="L4" i="1"/>
  <c r="L5" i="1" s="1"/>
  <c r="L7" i="1" s="1"/>
  <c r="L12" i="1"/>
  <c r="M12" i="1" s="1"/>
  <c r="C25" i="2"/>
  <c r="M4" i="1"/>
  <c r="M5" i="1" s="1"/>
  <c r="E626" i="1" l="1"/>
  <c r="E818" i="1"/>
  <c r="E825" i="1"/>
  <c r="F1244" i="1"/>
  <c r="E918" i="1"/>
  <c r="F677" i="1"/>
  <c r="E413" i="1"/>
  <c r="E456" i="1"/>
  <c r="E1113" i="1"/>
  <c r="E833" i="1"/>
  <c r="E1070" i="1"/>
  <c r="F1203" i="1"/>
  <c r="F1098" i="1"/>
  <c r="F625" i="1"/>
  <c r="E481" i="1"/>
  <c r="E609" i="1"/>
  <c r="F787" i="1"/>
  <c r="E1139" i="1"/>
  <c r="E985" i="1"/>
  <c r="F866" i="1"/>
  <c r="E885" i="1"/>
  <c r="E989" i="1"/>
  <c r="E998" i="1"/>
  <c r="E503" i="1"/>
  <c r="E912" i="1"/>
  <c r="E1102" i="1"/>
  <c r="E935" i="1"/>
  <c r="E801" i="1"/>
  <c r="F768" i="1"/>
  <c r="F1084" i="1"/>
  <c r="F527" i="1"/>
  <c r="E527" i="1"/>
  <c r="F396" i="1"/>
  <c r="E396" i="1"/>
  <c r="F716" i="1"/>
  <c r="E716" i="1"/>
  <c r="E908" i="1"/>
  <c r="F908" i="1"/>
  <c r="F309" i="1"/>
  <c r="E309" i="1"/>
  <c r="F591" i="1"/>
  <c r="E591" i="1"/>
  <c r="F640" i="1"/>
  <c r="E640" i="1"/>
  <c r="F1048" i="1"/>
  <c r="E1048" i="1"/>
  <c r="F353" i="1"/>
  <c r="E353" i="1"/>
  <c r="F991" i="1"/>
  <c r="E991" i="1"/>
  <c r="F601" i="1"/>
  <c r="E601" i="1"/>
  <c r="F515" i="1"/>
  <c r="E515" i="1"/>
  <c r="F257" i="1"/>
  <c r="E257" i="1"/>
  <c r="F441" i="1"/>
  <c r="E441" i="1"/>
  <c r="F402" i="1"/>
  <c r="E402" i="1"/>
  <c r="F362" i="1"/>
  <c r="E362" i="1"/>
  <c r="F345" i="1"/>
  <c r="E345" i="1"/>
  <c r="F322" i="1"/>
  <c r="E322" i="1"/>
  <c r="F594" i="1"/>
  <c r="E594" i="1"/>
  <c r="E302" i="1"/>
  <c r="F302" i="1"/>
  <c r="F399" i="1"/>
  <c r="E399" i="1"/>
  <c r="F703" i="1"/>
  <c r="E703" i="1"/>
  <c r="F839" i="1"/>
  <c r="E839" i="1"/>
  <c r="F300" i="1"/>
  <c r="E300" i="1"/>
  <c r="F364" i="1"/>
  <c r="E364" i="1"/>
  <c r="E428" i="1"/>
  <c r="F428" i="1"/>
  <c r="F492" i="1"/>
  <c r="E492" i="1"/>
  <c r="F556" i="1"/>
  <c r="E556" i="1"/>
  <c r="F620" i="1"/>
  <c r="E620" i="1"/>
  <c r="F684" i="1"/>
  <c r="E684" i="1"/>
  <c r="E748" i="1"/>
  <c r="F748" i="1"/>
  <c r="F812" i="1"/>
  <c r="E812" i="1"/>
  <c r="F876" i="1"/>
  <c r="E876" i="1"/>
  <c r="F940" i="1"/>
  <c r="E940" i="1"/>
  <c r="F1068" i="1"/>
  <c r="E1068" i="1"/>
  <c r="F1228" i="1"/>
  <c r="E1228" i="1"/>
  <c r="F261" i="1"/>
  <c r="E261" i="1"/>
  <c r="F349" i="1"/>
  <c r="E349" i="1"/>
  <c r="F437" i="1"/>
  <c r="E437" i="1"/>
  <c r="E549" i="1"/>
  <c r="F549" i="1"/>
  <c r="F701" i="1"/>
  <c r="E701" i="1"/>
  <c r="F837" i="1"/>
  <c r="E837" i="1"/>
  <c r="F1023" i="1"/>
  <c r="E1023" i="1"/>
  <c r="F319" i="1"/>
  <c r="E319" i="1"/>
  <c r="F440" i="1"/>
  <c r="E440" i="1"/>
  <c r="F543" i="1"/>
  <c r="E543" i="1"/>
  <c r="F696" i="1"/>
  <c r="E696" i="1"/>
  <c r="E816" i="1"/>
  <c r="F816" i="1"/>
  <c r="F952" i="1"/>
  <c r="E952" i="1"/>
  <c r="F1016" i="1"/>
  <c r="E1016" i="1"/>
  <c r="F1072" i="1"/>
  <c r="E1072" i="1"/>
  <c r="F1128" i="1"/>
  <c r="E1128" i="1"/>
  <c r="F1191" i="1"/>
  <c r="E1191" i="1"/>
  <c r="F1248" i="1"/>
  <c r="E1248" i="1"/>
  <c r="F538" i="1"/>
  <c r="E538" i="1"/>
  <c r="F1135" i="1"/>
  <c r="E1135" i="1"/>
  <c r="F407" i="1"/>
  <c r="E407" i="1"/>
  <c r="F623" i="1"/>
  <c r="E623" i="1"/>
  <c r="F879" i="1"/>
  <c r="E879" i="1"/>
  <c r="F1119" i="1"/>
  <c r="E1119" i="1"/>
  <c r="E688" i="1"/>
  <c r="F688" i="1"/>
  <c r="F888" i="1"/>
  <c r="E888" i="1"/>
  <c r="F553" i="1"/>
  <c r="E553" i="1"/>
  <c r="F681" i="1"/>
  <c r="E681" i="1"/>
  <c r="F785" i="1"/>
  <c r="E785" i="1"/>
  <c r="F1105" i="1"/>
  <c r="E1105" i="1"/>
  <c r="F1201" i="1"/>
  <c r="E1201" i="1"/>
  <c r="F867" i="1"/>
  <c r="E867" i="1"/>
  <c r="F1187" i="1"/>
  <c r="E1187" i="1"/>
  <c r="E579" i="1"/>
  <c r="F579" i="1"/>
  <c r="F1021" i="1"/>
  <c r="E1021" i="1"/>
  <c r="F520" i="1"/>
  <c r="E520" i="1"/>
  <c r="F289" i="1"/>
  <c r="E289" i="1"/>
  <c r="E352" i="1"/>
  <c r="F352" i="1"/>
  <c r="F409" i="1"/>
  <c r="E409" i="1"/>
  <c r="F849" i="1"/>
  <c r="E849" i="1"/>
  <c r="F1033" i="1"/>
  <c r="E1033" i="1"/>
  <c r="F1215" i="1"/>
  <c r="E1215" i="1"/>
  <c r="F562" i="1"/>
  <c r="E562" i="1"/>
  <c r="F722" i="1"/>
  <c r="E722" i="1"/>
  <c r="F946" i="1"/>
  <c r="E946" i="1"/>
  <c r="F1202" i="1"/>
  <c r="E1202" i="1"/>
  <c r="F331" i="1"/>
  <c r="E331" i="1"/>
  <c r="F379" i="1"/>
  <c r="E379" i="1"/>
  <c r="F426" i="1"/>
  <c r="E426" i="1"/>
  <c r="F467" i="1"/>
  <c r="E467" i="1"/>
  <c r="F539" i="1"/>
  <c r="E539" i="1"/>
  <c r="F898" i="1"/>
  <c r="E898" i="1"/>
  <c r="F545" i="1"/>
  <c r="E545" i="1"/>
  <c r="F665" i="1"/>
  <c r="E665" i="1"/>
  <c r="F977" i="1"/>
  <c r="E977" i="1"/>
  <c r="E522" i="1"/>
  <c r="F522" i="1"/>
  <c r="F1019" i="1"/>
  <c r="E1019" i="1"/>
  <c r="F1227" i="1"/>
  <c r="E1227" i="1"/>
  <c r="F819" i="1"/>
  <c r="E819" i="1"/>
  <c r="F707" i="1"/>
  <c r="E707" i="1"/>
  <c r="F699" i="1"/>
  <c r="E699" i="1"/>
  <c r="F1029" i="1"/>
  <c r="E1029" i="1"/>
  <c r="F955" i="1"/>
  <c r="E955" i="1"/>
  <c r="F1210" i="1"/>
  <c r="E1210" i="1"/>
  <c r="F1126" i="1"/>
  <c r="E1126" i="1"/>
  <c r="F1140" i="1"/>
  <c r="E1140" i="1"/>
  <c r="F1035" i="1"/>
  <c r="E1035" i="1"/>
  <c r="E637" i="1"/>
  <c r="F637" i="1"/>
  <c r="F853" i="1"/>
  <c r="E853" i="1"/>
  <c r="F965" i="1"/>
  <c r="E965" i="1"/>
  <c r="F1101" i="1"/>
  <c r="E1101" i="1"/>
  <c r="F1173" i="1"/>
  <c r="E1173" i="1"/>
  <c r="F645" i="1"/>
  <c r="E645" i="1"/>
  <c r="F944" i="1"/>
  <c r="E944" i="1"/>
  <c r="E1180" i="1"/>
  <c r="F1180" i="1"/>
  <c r="F454" i="1"/>
  <c r="E454" i="1"/>
  <c r="F526" i="1"/>
  <c r="E526" i="1"/>
  <c r="E606" i="1"/>
  <c r="F606" i="1"/>
  <c r="E686" i="1"/>
  <c r="F686" i="1"/>
  <c r="F782" i="1"/>
  <c r="E782" i="1"/>
  <c r="F846" i="1"/>
  <c r="E846" i="1"/>
  <c r="F958" i="1"/>
  <c r="E958" i="1"/>
  <c r="F1054" i="1"/>
  <c r="E1054" i="1"/>
  <c r="F1190" i="1"/>
  <c r="E1190" i="1"/>
  <c r="E723" i="1"/>
  <c r="F723" i="1"/>
  <c r="F803" i="1"/>
  <c r="E803" i="1"/>
  <c r="F923" i="1"/>
  <c r="E923" i="1"/>
  <c r="F1083" i="1"/>
  <c r="E1083" i="1"/>
  <c r="F431" i="1"/>
  <c r="E431" i="1"/>
  <c r="F756" i="1"/>
  <c r="E756" i="1"/>
  <c r="F717" i="1"/>
  <c r="E717" i="1"/>
  <c r="F1136" i="1"/>
  <c r="E1136" i="1"/>
  <c r="F911" i="1"/>
  <c r="E911" i="1"/>
  <c r="F1121" i="1"/>
  <c r="E1121" i="1"/>
  <c r="F1233" i="1"/>
  <c r="E1233" i="1"/>
  <c r="F939" i="1"/>
  <c r="E939" i="1"/>
  <c r="F1243" i="1"/>
  <c r="E1243" i="1"/>
  <c r="F653" i="1"/>
  <c r="E653" i="1"/>
  <c r="F1043" i="1"/>
  <c r="E1043" i="1"/>
  <c r="F624" i="1"/>
  <c r="E624" i="1"/>
  <c r="F296" i="1"/>
  <c r="E296" i="1"/>
  <c r="F361" i="1"/>
  <c r="E361" i="1"/>
  <c r="F417" i="1"/>
  <c r="E417" i="1"/>
  <c r="F873" i="1"/>
  <c r="E873" i="1"/>
  <c r="F954" i="1"/>
  <c r="E954" i="1"/>
  <c r="F274" i="1"/>
  <c r="E274" i="1"/>
  <c r="F570" i="1"/>
  <c r="E570" i="1"/>
  <c r="F754" i="1"/>
  <c r="E754" i="1"/>
  <c r="F986" i="1"/>
  <c r="E986" i="1"/>
  <c r="F1242" i="1"/>
  <c r="E1242" i="1"/>
  <c r="F338" i="1"/>
  <c r="E338" i="1"/>
  <c r="F387" i="1"/>
  <c r="E387" i="1"/>
  <c r="F427" i="1"/>
  <c r="E427" i="1"/>
  <c r="F475" i="1"/>
  <c r="E475" i="1"/>
  <c r="E554" i="1"/>
  <c r="F554" i="1"/>
  <c r="F927" i="1"/>
  <c r="E927" i="1"/>
  <c r="F577" i="1"/>
  <c r="E577" i="1"/>
  <c r="F689" i="1"/>
  <c r="E689" i="1"/>
  <c r="F1001" i="1"/>
  <c r="E1001" i="1"/>
  <c r="F523" i="1"/>
  <c r="E523" i="1"/>
  <c r="F1018" i="1"/>
  <c r="E1018" i="1"/>
  <c r="F255" i="1"/>
  <c r="E255" i="1"/>
  <c r="F875" i="1"/>
  <c r="E875" i="1"/>
  <c r="F715" i="1"/>
  <c r="E715" i="1"/>
  <c r="F735" i="1"/>
  <c r="E735" i="1"/>
  <c r="F1053" i="1"/>
  <c r="E1053" i="1"/>
  <c r="F987" i="1"/>
  <c r="E987" i="1"/>
  <c r="F1235" i="1"/>
  <c r="E1235" i="1"/>
  <c r="F1172" i="1"/>
  <c r="E1172" i="1"/>
  <c r="F1148" i="1"/>
  <c r="E1148" i="1"/>
  <c r="F1153" i="1"/>
  <c r="E1153" i="1"/>
  <c r="E725" i="1"/>
  <c r="F725" i="1"/>
  <c r="E869" i="1"/>
  <c r="F869" i="1"/>
  <c r="F973" i="1"/>
  <c r="E973" i="1"/>
  <c r="F1109" i="1"/>
  <c r="E1109" i="1"/>
  <c r="F1205" i="1"/>
  <c r="E1205" i="1"/>
  <c r="F678" i="1"/>
  <c r="E678" i="1"/>
  <c r="F969" i="1"/>
  <c r="E969" i="1"/>
  <c r="F1249" i="1"/>
  <c r="E1249" i="1"/>
  <c r="E462" i="1"/>
  <c r="F462" i="1"/>
  <c r="F534" i="1"/>
  <c r="E534" i="1"/>
  <c r="E614" i="1"/>
  <c r="F614" i="1"/>
  <c r="F694" i="1"/>
  <c r="E694" i="1"/>
  <c r="F790" i="1"/>
  <c r="E790" i="1"/>
  <c r="F870" i="1"/>
  <c r="E870" i="1"/>
  <c r="E974" i="1"/>
  <c r="F974" i="1"/>
  <c r="F1086" i="1"/>
  <c r="E1086" i="1"/>
  <c r="F1198" i="1"/>
  <c r="E1198" i="1"/>
  <c r="E738" i="1"/>
  <c r="F738" i="1"/>
  <c r="F859" i="1"/>
  <c r="E859" i="1"/>
  <c r="F947" i="1"/>
  <c r="E947" i="1"/>
  <c r="F1082" i="1"/>
  <c r="E1082" i="1"/>
  <c r="E372" i="1"/>
  <c r="F372" i="1"/>
  <c r="F310" i="1"/>
  <c r="E310" i="1"/>
  <c r="E832" i="1"/>
  <c r="F832" i="1"/>
  <c r="E871" i="1"/>
  <c r="F871" i="1"/>
  <c r="F666" i="1"/>
  <c r="E666" i="1"/>
  <c r="F636" i="1"/>
  <c r="E636" i="1"/>
  <c r="F733" i="1"/>
  <c r="E733" i="1"/>
  <c r="F1032" i="1"/>
  <c r="E1032" i="1"/>
  <c r="E943" i="1"/>
  <c r="F943" i="1"/>
  <c r="E938" i="1"/>
  <c r="F938" i="1"/>
  <c r="F305" i="1"/>
  <c r="E305" i="1"/>
  <c r="F375" i="1"/>
  <c r="E375" i="1"/>
  <c r="F422" i="1"/>
  <c r="E422" i="1"/>
  <c r="F889" i="1"/>
  <c r="E889" i="1"/>
  <c r="F980" i="1"/>
  <c r="E980" i="1"/>
  <c r="F330" i="1"/>
  <c r="E330" i="1"/>
  <c r="E610" i="1"/>
  <c r="F610" i="1"/>
  <c r="F786" i="1"/>
  <c r="E786" i="1"/>
  <c r="F1010" i="1"/>
  <c r="E1010" i="1"/>
  <c r="F266" i="1"/>
  <c r="E266" i="1"/>
  <c r="F339" i="1"/>
  <c r="E339" i="1"/>
  <c r="F394" i="1"/>
  <c r="E394" i="1"/>
  <c r="F435" i="1"/>
  <c r="E435" i="1"/>
  <c r="F483" i="1"/>
  <c r="E483" i="1"/>
  <c r="E555" i="1"/>
  <c r="F555" i="1"/>
  <c r="F951" i="1"/>
  <c r="E951" i="1"/>
  <c r="F615" i="1"/>
  <c r="E615" i="1"/>
  <c r="F713" i="1"/>
  <c r="E713" i="1"/>
  <c r="F1041" i="1"/>
  <c r="E1041" i="1"/>
  <c r="F547" i="1"/>
  <c r="E547" i="1"/>
  <c r="F1059" i="1"/>
  <c r="E1059" i="1"/>
  <c r="F461" i="1"/>
  <c r="E461" i="1"/>
  <c r="F928" i="1"/>
  <c r="E928" i="1"/>
  <c r="E714" i="1"/>
  <c r="F714" i="1"/>
  <c r="F799" i="1"/>
  <c r="E799" i="1"/>
  <c r="F1099" i="1"/>
  <c r="E1099" i="1"/>
  <c r="F1075" i="1"/>
  <c r="E1075" i="1"/>
  <c r="E470" i="1"/>
  <c r="F470" i="1"/>
  <c r="F1218" i="1"/>
  <c r="E1218" i="1"/>
  <c r="F1236" i="1"/>
  <c r="E1236" i="1"/>
  <c r="F253" i="1"/>
  <c r="E253" i="1"/>
  <c r="F741" i="1"/>
  <c r="E741" i="1"/>
  <c r="F877" i="1"/>
  <c r="E877" i="1"/>
  <c r="F981" i="1"/>
  <c r="E981" i="1"/>
  <c r="F1117" i="1"/>
  <c r="E1117" i="1"/>
  <c r="F1213" i="1"/>
  <c r="E1213" i="1"/>
  <c r="F710" i="1"/>
  <c r="E710" i="1"/>
  <c r="F993" i="1"/>
  <c r="E993" i="1"/>
  <c r="F262" i="1"/>
  <c r="E262" i="1"/>
  <c r="E478" i="1"/>
  <c r="F478" i="1"/>
  <c r="E542" i="1"/>
  <c r="F542" i="1"/>
  <c r="E622" i="1"/>
  <c r="F622" i="1"/>
  <c r="F702" i="1"/>
  <c r="E702" i="1"/>
  <c r="E798" i="1"/>
  <c r="F798" i="1"/>
  <c r="F886" i="1"/>
  <c r="E886" i="1"/>
  <c r="F982" i="1"/>
  <c r="E982" i="1"/>
  <c r="F1110" i="1"/>
  <c r="E1110" i="1"/>
  <c r="F1206" i="1"/>
  <c r="E1206" i="1"/>
  <c r="F739" i="1"/>
  <c r="E739" i="1"/>
  <c r="F874" i="1"/>
  <c r="E874" i="1"/>
  <c r="F963" i="1"/>
  <c r="E963" i="1"/>
  <c r="F1170" i="1"/>
  <c r="E1170" i="1"/>
  <c r="F500" i="1"/>
  <c r="E500" i="1"/>
  <c r="F357" i="1"/>
  <c r="E357" i="1"/>
  <c r="F1024" i="1"/>
  <c r="E1024" i="1"/>
  <c r="E1159" i="1"/>
  <c r="F1159" i="1"/>
  <c r="F1103" i="1"/>
  <c r="E1103" i="1"/>
  <c r="F892" i="1"/>
  <c r="E892" i="1"/>
  <c r="F320" i="1"/>
  <c r="E320" i="1"/>
  <c r="F580" i="1"/>
  <c r="E580" i="1"/>
  <c r="F656" i="1"/>
  <c r="E656" i="1"/>
  <c r="F744" i="1"/>
  <c r="E744" i="1"/>
  <c r="F751" i="1"/>
  <c r="E751" i="1"/>
  <c r="F721" i="1"/>
  <c r="E721" i="1"/>
  <c r="F313" i="1"/>
  <c r="E313" i="1"/>
  <c r="F346" i="1"/>
  <c r="E346" i="1"/>
  <c r="F267" i="1"/>
  <c r="E267" i="1"/>
  <c r="F355" i="1"/>
  <c r="E355" i="1"/>
  <c r="E395" i="1"/>
  <c r="F395" i="1"/>
  <c r="F442" i="1"/>
  <c r="E442" i="1"/>
  <c r="F491" i="1"/>
  <c r="E491" i="1"/>
  <c r="F563" i="1"/>
  <c r="E563" i="1"/>
  <c r="F1116" i="1"/>
  <c r="E1116" i="1"/>
  <c r="F617" i="1"/>
  <c r="E617" i="1"/>
  <c r="F817" i="1"/>
  <c r="E817" i="1"/>
  <c r="F282" i="1"/>
  <c r="E282" i="1"/>
  <c r="F603" i="1"/>
  <c r="E603" i="1"/>
  <c r="F1147" i="1"/>
  <c r="E1147" i="1"/>
  <c r="E590" i="1"/>
  <c r="F590" i="1"/>
  <c r="E586" i="1"/>
  <c r="F586" i="1"/>
  <c r="F731" i="1"/>
  <c r="E731" i="1"/>
  <c r="F851" i="1"/>
  <c r="E851" i="1"/>
  <c r="F1171" i="1"/>
  <c r="E1171" i="1"/>
  <c r="F1090" i="1"/>
  <c r="E1090" i="1"/>
  <c r="F635" i="1"/>
  <c r="E635" i="1"/>
  <c r="F988" i="1"/>
  <c r="E988" i="1"/>
  <c r="F1252" i="1"/>
  <c r="E1252" i="1"/>
  <c r="F477" i="1"/>
  <c r="E477" i="1"/>
  <c r="F757" i="1"/>
  <c r="E757" i="1"/>
  <c r="F901" i="1"/>
  <c r="E901" i="1"/>
  <c r="F1013" i="1"/>
  <c r="E1013" i="1"/>
  <c r="F1125" i="1"/>
  <c r="E1125" i="1"/>
  <c r="F1221" i="1"/>
  <c r="E1221" i="1"/>
  <c r="F745" i="1"/>
  <c r="E745" i="1"/>
  <c r="F1039" i="1"/>
  <c r="E1039" i="1"/>
  <c r="F318" i="1"/>
  <c r="E318" i="1"/>
  <c r="F486" i="1"/>
  <c r="E486" i="1"/>
  <c r="E558" i="1"/>
  <c r="F558" i="1"/>
  <c r="F630" i="1"/>
  <c r="E630" i="1"/>
  <c r="F734" i="1"/>
  <c r="E734" i="1"/>
  <c r="F806" i="1"/>
  <c r="E806" i="1"/>
  <c r="F894" i="1"/>
  <c r="E894" i="1"/>
  <c r="F990" i="1"/>
  <c r="E990" i="1"/>
  <c r="F1118" i="1"/>
  <c r="E1118" i="1"/>
  <c r="F1214" i="1"/>
  <c r="E1214" i="1"/>
  <c r="F746" i="1"/>
  <c r="E746" i="1"/>
  <c r="E883" i="1"/>
  <c r="F883" i="1"/>
  <c r="E962" i="1"/>
  <c r="F962" i="1"/>
  <c r="F1219" i="1"/>
  <c r="E1219" i="1"/>
  <c r="F436" i="1"/>
  <c r="E436" i="1"/>
  <c r="F277" i="1"/>
  <c r="E277" i="1"/>
  <c r="F968" i="1"/>
  <c r="E968" i="1"/>
  <c r="F720" i="1"/>
  <c r="E720" i="1"/>
  <c r="E366" i="1"/>
  <c r="F366" i="1"/>
  <c r="F572" i="1"/>
  <c r="E572" i="1"/>
  <c r="F581" i="1"/>
  <c r="E581" i="1"/>
  <c r="F976" i="1"/>
  <c r="E976" i="1"/>
  <c r="F727" i="1"/>
  <c r="E727" i="1"/>
  <c r="F298" i="1"/>
  <c r="E298" i="1"/>
  <c r="F516" i="1"/>
  <c r="E516" i="1"/>
  <c r="E1132" i="1"/>
  <c r="F1132" i="1"/>
  <c r="E488" i="1"/>
  <c r="F488" i="1"/>
  <c r="F297" i="1"/>
  <c r="E297" i="1"/>
  <c r="F505" i="1"/>
  <c r="E505" i="1"/>
  <c r="F377" i="1"/>
  <c r="E377" i="1"/>
  <c r="F460" i="1"/>
  <c r="E460" i="1"/>
  <c r="F621" i="1"/>
  <c r="E621" i="1"/>
  <c r="F295" i="1"/>
  <c r="E295" i="1"/>
  <c r="E896" i="1"/>
  <c r="F896" i="1"/>
  <c r="F1074" i="1"/>
  <c r="E1074" i="1"/>
  <c r="F1003" i="1"/>
  <c r="E1003" i="1"/>
  <c r="F283" i="1"/>
  <c r="E283" i="1"/>
  <c r="E627" i="1"/>
  <c r="F627" i="1"/>
  <c r="F1146" i="1"/>
  <c r="E1146" i="1"/>
  <c r="E695" i="1"/>
  <c r="F695" i="1"/>
  <c r="F587" i="1"/>
  <c r="E587" i="1"/>
  <c r="F755" i="1"/>
  <c r="E755" i="1"/>
  <c r="F903" i="1"/>
  <c r="E903" i="1"/>
  <c r="F1217" i="1"/>
  <c r="E1217" i="1"/>
  <c r="F1091" i="1"/>
  <c r="E1091" i="1"/>
  <c r="F669" i="1"/>
  <c r="E669" i="1"/>
  <c r="F1044" i="1"/>
  <c r="E1044" i="1"/>
  <c r="F525" i="1"/>
  <c r="E525" i="1"/>
  <c r="F533" i="1"/>
  <c r="E533" i="1"/>
  <c r="F773" i="1"/>
  <c r="E773" i="1"/>
  <c r="F925" i="1"/>
  <c r="E925" i="1"/>
  <c r="F1037" i="1"/>
  <c r="E1037" i="1"/>
  <c r="F1133" i="1"/>
  <c r="E1133" i="1"/>
  <c r="F1229" i="1"/>
  <c r="E1229" i="1"/>
  <c r="F778" i="1"/>
  <c r="E778" i="1"/>
  <c r="F1085" i="1"/>
  <c r="E1085" i="1"/>
  <c r="E374" i="1"/>
  <c r="F374" i="1"/>
  <c r="E494" i="1"/>
  <c r="F494" i="1"/>
  <c r="F566" i="1"/>
  <c r="E566" i="1"/>
  <c r="E638" i="1"/>
  <c r="F638" i="1"/>
  <c r="E750" i="1"/>
  <c r="F750" i="1"/>
  <c r="F814" i="1"/>
  <c r="E814" i="1"/>
  <c r="F910" i="1"/>
  <c r="E910" i="1"/>
  <c r="F1022" i="1"/>
  <c r="E1022" i="1"/>
  <c r="F1134" i="1"/>
  <c r="E1134" i="1"/>
  <c r="F1222" i="1"/>
  <c r="E1222" i="1"/>
  <c r="F747" i="1"/>
  <c r="E747" i="1"/>
  <c r="F907" i="1"/>
  <c r="E907" i="1"/>
  <c r="F971" i="1"/>
  <c r="E971" i="1"/>
  <c r="F1250" i="1"/>
  <c r="E1250" i="1"/>
  <c r="E602" i="1"/>
  <c r="F602" i="1"/>
  <c r="F1015" i="1"/>
  <c r="E1015" i="1"/>
  <c r="E628" i="1"/>
  <c r="F628" i="1"/>
  <c r="E884" i="1"/>
  <c r="F884" i="1"/>
  <c r="F445" i="1"/>
  <c r="E445" i="1"/>
  <c r="F344" i="1"/>
  <c r="E344" i="1"/>
  <c r="F711" i="1"/>
  <c r="E711" i="1"/>
  <c r="F1192" i="1"/>
  <c r="E1192" i="1"/>
  <c r="F1204" i="1"/>
  <c r="E1204" i="1"/>
  <c r="F671" i="1"/>
  <c r="E671" i="1"/>
  <c r="F697" i="1"/>
  <c r="E697" i="1"/>
  <c r="F386" i="1"/>
  <c r="E386" i="1"/>
  <c r="F316" i="1"/>
  <c r="E316" i="1"/>
  <c r="F508" i="1"/>
  <c r="E508" i="1"/>
  <c r="F828" i="1"/>
  <c r="E828" i="1"/>
  <c r="F1100" i="1"/>
  <c r="E1100" i="1"/>
  <c r="F365" i="1"/>
  <c r="E365" i="1"/>
  <c r="F360" i="1"/>
  <c r="E360" i="1"/>
  <c r="F840" i="1"/>
  <c r="E840" i="1"/>
  <c r="F1200" i="1"/>
  <c r="E1200" i="1"/>
  <c r="F279" i="1"/>
  <c r="E279" i="1"/>
  <c r="F791" i="1"/>
  <c r="E791" i="1"/>
  <c r="F705" i="1"/>
  <c r="E705" i="1"/>
  <c r="F259" i="1"/>
  <c r="E259" i="1"/>
  <c r="E294" i="1"/>
  <c r="F294" i="1"/>
  <c r="F730" i="1"/>
  <c r="E730" i="1"/>
  <c r="F895" i="1"/>
  <c r="E895" i="1"/>
  <c r="F388" i="1"/>
  <c r="E388" i="1"/>
  <c r="F708" i="1"/>
  <c r="E708" i="1"/>
  <c r="F900" i="1"/>
  <c r="E900" i="1"/>
  <c r="F373" i="1"/>
  <c r="E373" i="1"/>
  <c r="F749" i="1"/>
  <c r="E749" i="1"/>
  <c r="F376" i="1"/>
  <c r="E376" i="1"/>
  <c r="F984" i="1"/>
  <c r="E984" i="1"/>
  <c r="F1152" i="1"/>
  <c r="E1152" i="1"/>
  <c r="F535" i="1"/>
  <c r="E535" i="1"/>
  <c r="E1223" i="1"/>
  <c r="F1223" i="1"/>
  <c r="F1065" i="1"/>
  <c r="E1065" i="1"/>
  <c r="F979" i="1"/>
  <c r="E979" i="1"/>
  <c r="F336" i="1"/>
  <c r="E336" i="1"/>
  <c r="F897" i="1"/>
  <c r="E897" i="1"/>
  <c r="E810" i="1"/>
  <c r="F810" i="1"/>
  <c r="F794" i="1"/>
  <c r="E794" i="1"/>
  <c r="F268" i="1"/>
  <c r="E268" i="1"/>
  <c r="E652" i="1"/>
  <c r="F652" i="1"/>
  <c r="F972" i="1"/>
  <c r="E972" i="1"/>
  <c r="F381" i="1"/>
  <c r="E381" i="1"/>
  <c r="E280" i="1"/>
  <c r="F280" i="1"/>
  <c r="F743" i="1"/>
  <c r="E743" i="1"/>
  <c r="F1104" i="1"/>
  <c r="E1104" i="1"/>
  <c r="F783" i="1"/>
  <c r="E783" i="1"/>
  <c r="F1247" i="1"/>
  <c r="E1247" i="1"/>
  <c r="F729" i="1"/>
  <c r="E729" i="1"/>
  <c r="F1067" i="1"/>
  <c r="E1067" i="1"/>
  <c r="F321" i="1"/>
  <c r="E321" i="1"/>
  <c r="F1071" i="1"/>
  <c r="E1071" i="1"/>
  <c r="F826" i="1"/>
  <c r="E826" i="1"/>
  <c r="F443" i="1"/>
  <c r="E443" i="1"/>
  <c r="F632" i="1"/>
  <c r="E632" i="1"/>
  <c r="F482" i="1"/>
  <c r="E482" i="1"/>
  <c r="E858" i="1"/>
  <c r="F858" i="1"/>
  <c r="F303" i="1"/>
  <c r="E303" i="1"/>
  <c r="F567" i="1"/>
  <c r="E567" i="1"/>
  <c r="E278" i="1"/>
  <c r="F278" i="1"/>
  <c r="F276" i="1"/>
  <c r="E276" i="1"/>
  <c r="F340" i="1"/>
  <c r="E340" i="1"/>
  <c r="F404" i="1"/>
  <c r="E404" i="1"/>
  <c r="F468" i="1"/>
  <c r="E468" i="1"/>
  <c r="F532" i="1"/>
  <c r="E532" i="1"/>
  <c r="F596" i="1"/>
  <c r="E596" i="1"/>
  <c r="F660" i="1"/>
  <c r="E660" i="1"/>
  <c r="F724" i="1"/>
  <c r="E724" i="1"/>
  <c r="F788" i="1"/>
  <c r="E788" i="1"/>
  <c r="F852" i="1"/>
  <c r="E852" i="1"/>
  <c r="F916" i="1"/>
  <c r="E916" i="1"/>
  <c r="F1004" i="1"/>
  <c r="E1004" i="1"/>
  <c r="F1164" i="1"/>
  <c r="E1164" i="1"/>
  <c r="F856" i="1"/>
  <c r="E856" i="1"/>
  <c r="F317" i="1"/>
  <c r="E317" i="1"/>
  <c r="F389" i="1"/>
  <c r="E389" i="1"/>
  <c r="F501" i="1"/>
  <c r="E501" i="1"/>
  <c r="F629" i="1"/>
  <c r="E629" i="1"/>
  <c r="F797" i="1"/>
  <c r="E797" i="1"/>
  <c r="F663" i="1"/>
  <c r="E663" i="1"/>
  <c r="F288" i="1"/>
  <c r="E288" i="1"/>
  <c r="F416" i="1"/>
  <c r="E416" i="1"/>
  <c r="F504" i="1"/>
  <c r="E504" i="1"/>
  <c r="F648" i="1"/>
  <c r="E648" i="1"/>
  <c r="F776" i="1"/>
  <c r="E776" i="1"/>
  <c r="F904" i="1"/>
  <c r="E904" i="1"/>
  <c r="F999" i="1"/>
  <c r="E999" i="1"/>
  <c r="E1056" i="1"/>
  <c r="F1056" i="1"/>
  <c r="F1112" i="1"/>
  <c r="E1112" i="1"/>
  <c r="E1168" i="1"/>
  <c r="F1168" i="1"/>
  <c r="F1224" i="1"/>
  <c r="E1224" i="1"/>
  <c r="F400" i="1"/>
  <c r="E400" i="1"/>
  <c r="F970" i="1"/>
  <c r="E970" i="1"/>
  <c r="F343" i="1"/>
  <c r="E343" i="1"/>
  <c r="F559" i="1"/>
  <c r="E559" i="1"/>
  <c r="F807" i="1"/>
  <c r="E807" i="1"/>
  <c r="F1031" i="1"/>
  <c r="E1031" i="1"/>
  <c r="F631" i="1"/>
  <c r="E631" i="1"/>
  <c r="F855" i="1"/>
  <c r="E855" i="1"/>
  <c r="F513" i="1"/>
  <c r="E513" i="1"/>
  <c r="F641" i="1"/>
  <c r="E641" i="1"/>
  <c r="F737" i="1"/>
  <c r="E737" i="1"/>
  <c r="F1081" i="1"/>
  <c r="E1081" i="1"/>
  <c r="F1177" i="1"/>
  <c r="E1177" i="1"/>
  <c r="F595" i="1"/>
  <c r="E595" i="1"/>
  <c r="F1123" i="1"/>
  <c r="E1123" i="1"/>
  <c r="F448" i="1"/>
  <c r="E448" i="1"/>
  <c r="F919" i="1"/>
  <c r="E919" i="1"/>
  <c r="F383" i="1"/>
  <c r="E383" i="1"/>
  <c r="F265" i="1"/>
  <c r="E265" i="1"/>
  <c r="F326" i="1"/>
  <c r="E326" i="1"/>
  <c r="F393" i="1"/>
  <c r="E393" i="1"/>
  <c r="F457" i="1"/>
  <c r="E457" i="1"/>
  <c r="F921" i="1"/>
  <c r="E921" i="1"/>
  <c r="F1143" i="1"/>
  <c r="E1143" i="1"/>
  <c r="F458" i="1"/>
  <c r="E458" i="1"/>
  <c r="E674" i="1"/>
  <c r="F674" i="1"/>
  <c r="E842" i="1"/>
  <c r="F842" i="1"/>
  <c r="F1114" i="1"/>
  <c r="E1114" i="1"/>
  <c r="F291" i="1"/>
  <c r="E291" i="1"/>
  <c r="F363" i="1"/>
  <c r="E363" i="1"/>
  <c r="F410" i="1"/>
  <c r="E410" i="1"/>
  <c r="F451" i="1"/>
  <c r="E451" i="1"/>
  <c r="F499" i="1"/>
  <c r="E499" i="1"/>
  <c r="E1002" i="1"/>
  <c r="F1002" i="1"/>
  <c r="F449" i="1"/>
  <c r="E449" i="1"/>
  <c r="F633" i="1"/>
  <c r="E633" i="1"/>
  <c r="F905" i="1"/>
  <c r="E905" i="1"/>
  <c r="F306" i="1"/>
  <c r="E306" i="1"/>
  <c r="F675" i="1"/>
  <c r="E675" i="1"/>
  <c r="F1163" i="1"/>
  <c r="E1163" i="1"/>
  <c r="F728" i="1"/>
  <c r="E728" i="1"/>
  <c r="F643" i="1"/>
  <c r="E643" i="1"/>
  <c r="F771" i="1"/>
  <c r="E771" i="1"/>
  <c r="F960" i="1"/>
  <c r="E960" i="1"/>
  <c r="F1241" i="1"/>
  <c r="E1241" i="1"/>
  <c r="F1106" i="1"/>
  <c r="E1106" i="1"/>
  <c r="F770" i="1"/>
  <c r="E770" i="1"/>
  <c r="F1052" i="1"/>
  <c r="E1052" i="1"/>
  <c r="F802" i="1"/>
  <c r="E802" i="1"/>
  <c r="F565" i="1"/>
  <c r="E565" i="1"/>
  <c r="F781" i="1"/>
  <c r="E781" i="1"/>
  <c r="E933" i="1"/>
  <c r="F933" i="1"/>
  <c r="F1045" i="1"/>
  <c r="E1045" i="1"/>
  <c r="F1141" i="1"/>
  <c r="E1141" i="1"/>
  <c r="F1237" i="1"/>
  <c r="E1237" i="1"/>
  <c r="F809" i="1"/>
  <c r="E809" i="1"/>
  <c r="F1108" i="1"/>
  <c r="E1108" i="1"/>
  <c r="F390" i="1"/>
  <c r="E390" i="1"/>
  <c r="E502" i="1"/>
  <c r="F502" i="1"/>
  <c r="E574" i="1"/>
  <c r="F574" i="1"/>
  <c r="E646" i="1"/>
  <c r="F646" i="1"/>
  <c r="F758" i="1"/>
  <c r="E758" i="1"/>
  <c r="F822" i="1"/>
  <c r="E822" i="1"/>
  <c r="F926" i="1"/>
  <c r="E926" i="1"/>
  <c r="F1030" i="1"/>
  <c r="E1030" i="1"/>
  <c r="F1150" i="1"/>
  <c r="E1150" i="1"/>
  <c r="F1238" i="1"/>
  <c r="E1238" i="1"/>
  <c r="E762" i="1"/>
  <c r="F762" i="1"/>
  <c r="E906" i="1"/>
  <c r="F906" i="1"/>
  <c r="F994" i="1"/>
  <c r="E994" i="1"/>
  <c r="F1251" i="1"/>
  <c r="E1251" i="1"/>
  <c r="F334" i="1"/>
  <c r="E334" i="1"/>
  <c r="F308" i="1"/>
  <c r="E308" i="1"/>
  <c r="F692" i="1"/>
  <c r="E692" i="1"/>
  <c r="F948" i="1"/>
  <c r="E948" i="1"/>
  <c r="F557" i="1"/>
  <c r="E557" i="1"/>
  <c r="F1111" i="1"/>
  <c r="E1111" i="1"/>
  <c r="F576" i="1"/>
  <c r="E576" i="1"/>
  <c r="F1255" i="1"/>
  <c r="E1255" i="1"/>
  <c r="F831" i="1"/>
  <c r="E831" i="1"/>
  <c r="F380" i="1"/>
  <c r="E380" i="1"/>
  <c r="F700" i="1"/>
  <c r="E700" i="1"/>
  <c r="F956" i="1"/>
  <c r="E956" i="1"/>
  <c r="F293" i="1"/>
  <c r="E293" i="1"/>
  <c r="F256" i="1"/>
  <c r="E256" i="1"/>
  <c r="F584" i="1"/>
  <c r="E584" i="1"/>
  <c r="F1088" i="1"/>
  <c r="E1088" i="1"/>
  <c r="F1256" i="1"/>
  <c r="E1256" i="1"/>
  <c r="F479" i="1"/>
  <c r="E479" i="1"/>
  <c r="F465" i="1"/>
  <c r="E465" i="1"/>
  <c r="F857" i="1"/>
  <c r="E857" i="1"/>
  <c r="F1212" i="1"/>
  <c r="E1212" i="1"/>
  <c r="E398" i="1"/>
  <c r="F398" i="1"/>
  <c r="F260" i="1"/>
  <c r="E260" i="1"/>
  <c r="F452" i="1"/>
  <c r="E452" i="1"/>
  <c r="F772" i="1"/>
  <c r="E772" i="1"/>
  <c r="F964" i="1"/>
  <c r="E964" i="1"/>
  <c r="F485" i="1"/>
  <c r="E485" i="1"/>
  <c r="F439" i="1"/>
  <c r="E439" i="1"/>
  <c r="F592" i="1"/>
  <c r="E592" i="1"/>
  <c r="F1040" i="1"/>
  <c r="E1040" i="1"/>
  <c r="F1208" i="1"/>
  <c r="E1208" i="1"/>
  <c r="E759" i="1"/>
  <c r="F759" i="1"/>
  <c r="F808" i="1"/>
  <c r="E808" i="1"/>
  <c r="F1137" i="1"/>
  <c r="E1137" i="1"/>
  <c r="F358" i="1"/>
  <c r="E358" i="1"/>
  <c r="F1234" i="1"/>
  <c r="E1234" i="1"/>
  <c r="F1026" i="1"/>
  <c r="E1026" i="1"/>
  <c r="F1050" i="1"/>
  <c r="E1050" i="1"/>
  <c r="F271" i="1"/>
  <c r="E271" i="1"/>
  <c r="E332" i="1"/>
  <c r="F332" i="1"/>
  <c r="F588" i="1"/>
  <c r="E588" i="1"/>
  <c r="E844" i="1"/>
  <c r="F844" i="1"/>
  <c r="F824" i="1"/>
  <c r="E824" i="1"/>
  <c r="F765" i="1"/>
  <c r="E765" i="1"/>
  <c r="F487" i="1"/>
  <c r="E487" i="1"/>
  <c r="F992" i="1"/>
  <c r="E992" i="1"/>
  <c r="F1216" i="1"/>
  <c r="E1216" i="1"/>
  <c r="F775" i="1"/>
  <c r="E775" i="1"/>
  <c r="F511" i="1"/>
  <c r="E511" i="1"/>
  <c r="F1169" i="1"/>
  <c r="E1169" i="1"/>
  <c r="F350" i="1"/>
  <c r="E350" i="1"/>
  <c r="F913" i="1"/>
  <c r="E913" i="1"/>
  <c r="E650" i="1"/>
  <c r="F650" i="1"/>
  <c r="F403" i="1"/>
  <c r="E403" i="1"/>
  <c r="E498" i="1"/>
  <c r="F498" i="1"/>
  <c r="F881" i="1"/>
  <c r="E881" i="1"/>
  <c r="F258" i="1"/>
  <c r="E258" i="1"/>
  <c r="F922" i="1"/>
  <c r="E922" i="1"/>
  <c r="F335" i="1"/>
  <c r="E335" i="1"/>
  <c r="F575" i="1"/>
  <c r="E575" i="1"/>
  <c r="E406" i="1"/>
  <c r="F406" i="1"/>
  <c r="F284" i="1"/>
  <c r="E284" i="1"/>
  <c r="F348" i="1"/>
  <c r="E348" i="1"/>
  <c r="F412" i="1"/>
  <c r="E412" i="1"/>
  <c r="F476" i="1"/>
  <c r="E476" i="1"/>
  <c r="F540" i="1"/>
  <c r="E540" i="1"/>
  <c r="F604" i="1"/>
  <c r="E604" i="1"/>
  <c r="F668" i="1"/>
  <c r="E668" i="1"/>
  <c r="F732" i="1"/>
  <c r="E732" i="1"/>
  <c r="E796" i="1"/>
  <c r="F796" i="1"/>
  <c r="E860" i="1"/>
  <c r="F860" i="1"/>
  <c r="F924" i="1"/>
  <c r="E924" i="1"/>
  <c r="F1028" i="1"/>
  <c r="E1028" i="1"/>
  <c r="F1196" i="1"/>
  <c r="E1196" i="1"/>
  <c r="F1047" i="1"/>
  <c r="E1047" i="1"/>
  <c r="F325" i="1"/>
  <c r="E325" i="1"/>
  <c r="F421" i="1"/>
  <c r="E421" i="1"/>
  <c r="F509" i="1"/>
  <c r="E509" i="1"/>
  <c r="F661" i="1"/>
  <c r="E661" i="1"/>
  <c r="F813" i="1"/>
  <c r="E813" i="1"/>
  <c r="F679" i="1"/>
  <c r="E679" i="1"/>
  <c r="F304" i="1"/>
  <c r="E304" i="1"/>
  <c r="F415" i="1"/>
  <c r="E415" i="1"/>
  <c r="F536" i="1"/>
  <c r="E536" i="1"/>
  <c r="F664" i="1"/>
  <c r="E664" i="1"/>
  <c r="F784" i="1"/>
  <c r="E784" i="1"/>
  <c r="F920" i="1"/>
  <c r="E920" i="1"/>
  <c r="F1000" i="1"/>
  <c r="E1000" i="1"/>
  <c r="F1063" i="1"/>
  <c r="E1063" i="1"/>
  <c r="F1120" i="1"/>
  <c r="E1120" i="1"/>
  <c r="F1176" i="1"/>
  <c r="E1176" i="1"/>
  <c r="F1232" i="1"/>
  <c r="E1232" i="1"/>
  <c r="F447" i="1"/>
  <c r="E447" i="1"/>
  <c r="F1066" i="1"/>
  <c r="E1066" i="1"/>
  <c r="F351" i="1"/>
  <c r="E351" i="1"/>
  <c r="F599" i="1"/>
  <c r="E599" i="1"/>
  <c r="F847" i="1"/>
  <c r="E847" i="1"/>
  <c r="E1055" i="1"/>
  <c r="F1055" i="1"/>
  <c r="F655" i="1"/>
  <c r="E655" i="1"/>
  <c r="F864" i="1"/>
  <c r="E864" i="1"/>
  <c r="F529" i="1"/>
  <c r="E529" i="1"/>
  <c r="F657" i="1"/>
  <c r="E657" i="1"/>
  <c r="F753" i="1"/>
  <c r="E753" i="1"/>
  <c r="F1089" i="1"/>
  <c r="E1089" i="1"/>
  <c r="F1185" i="1"/>
  <c r="E1185" i="1"/>
  <c r="F611" i="1"/>
  <c r="E611" i="1"/>
  <c r="F1154" i="1"/>
  <c r="E1154" i="1"/>
  <c r="F496" i="1"/>
  <c r="E496" i="1"/>
  <c r="F975" i="1"/>
  <c r="E975" i="1"/>
  <c r="F455" i="1"/>
  <c r="E455" i="1"/>
  <c r="F273" i="1"/>
  <c r="E273" i="1"/>
  <c r="F329" i="1"/>
  <c r="E329" i="1"/>
  <c r="F397" i="1"/>
  <c r="E397" i="1"/>
  <c r="F473" i="1"/>
  <c r="E473" i="1"/>
  <c r="F1009" i="1"/>
  <c r="E1009" i="1"/>
  <c r="E1167" i="1"/>
  <c r="F1167" i="1"/>
  <c r="F474" i="1"/>
  <c r="E474" i="1"/>
  <c r="F690" i="1"/>
  <c r="E690" i="1"/>
  <c r="E890" i="1"/>
  <c r="F890" i="1"/>
  <c r="F1138" i="1"/>
  <c r="E1138" i="1"/>
  <c r="F299" i="1"/>
  <c r="E299" i="1"/>
  <c r="F370" i="1"/>
  <c r="E370" i="1"/>
  <c r="F411" i="1"/>
  <c r="E411" i="1"/>
  <c r="F459" i="1"/>
  <c r="E459" i="1"/>
  <c r="F507" i="1"/>
  <c r="E507" i="1"/>
  <c r="F658" i="1"/>
  <c r="E658" i="1"/>
  <c r="F497" i="1"/>
  <c r="E497" i="1"/>
  <c r="F647" i="1"/>
  <c r="E647" i="1"/>
  <c r="F929" i="1"/>
  <c r="E929" i="1"/>
  <c r="E307" i="1"/>
  <c r="F307" i="1"/>
  <c r="F827" i="1"/>
  <c r="E827" i="1"/>
  <c r="F1162" i="1"/>
  <c r="E1162" i="1"/>
  <c r="F761" i="1"/>
  <c r="E761" i="1"/>
  <c r="F659" i="1"/>
  <c r="E659" i="1"/>
  <c r="F795" i="1"/>
  <c r="E795" i="1"/>
  <c r="F983" i="1"/>
  <c r="E983" i="1"/>
  <c r="F899" i="1"/>
  <c r="E899" i="1"/>
  <c r="F1179" i="1"/>
  <c r="E1179" i="1"/>
  <c r="F829" i="1"/>
  <c r="E829" i="1"/>
  <c r="F1060" i="1"/>
  <c r="E1060" i="1"/>
  <c r="F937" i="1"/>
  <c r="E937" i="1"/>
  <c r="E573" i="1"/>
  <c r="F573" i="1"/>
  <c r="F789" i="1"/>
  <c r="E789" i="1"/>
  <c r="F941" i="1"/>
  <c r="E941" i="1"/>
  <c r="F1061" i="1"/>
  <c r="E1061" i="1"/>
  <c r="F1149" i="1"/>
  <c r="E1149" i="1"/>
  <c r="F286" i="1"/>
  <c r="E286" i="1"/>
  <c r="E834" i="1"/>
  <c r="F834" i="1"/>
  <c r="F1131" i="1"/>
  <c r="E1131" i="1"/>
  <c r="F430" i="1"/>
  <c r="E430" i="1"/>
  <c r="E510" i="1"/>
  <c r="F510" i="1"/>
  <c r="E582" i="1"/>
  <c r="F582" i="1"/>
  <c r="F654" i="1"/>
  <c r="E654" i="1"/>
  <c r="F766" i="1"/>
  <c r="E766" i="1"/>
  <c r="F830" i="1"/>
  <c r="E830" i="1"/>
  <c r="E942" i="1"/>
  <c r="F942" i="1"/>
  <c r="F1038" i="1"/>
  <c r="E1038" i="1"/>
  <c r="F1174" i="1"/>
  <c r="E1174" i="1"/>
  <c r="F1246" i="1"/>
  <c r="E1246" i="1"/>
  <c r="F763" i="1"/>
  <c r="E763" i="1"/>
  <c r="F914" i="1"/>
  <c r="E914" i="1"/>
  <c r="F995" i="1"/>
  <c r="E995" i="1"/>
  <c r="F354" i="1"/>
  <c r="E354" i="1"/>
  <c r="F767" i="1"/>
  <c r="E767" i="1"/>
  <c r="F564" i="1"/>
  <c r="E564" i="1"/>
  <c r="E820" i="1"/>
  <c r="F820" i="1"/>
  <c r="F1092" i="1"/>
  <c r="E1092" i="1"/>
  <c r="F264" i="1"/>
  <c r="E264" i="1"/>
  <c r="F471" i="1"/>
  <c r="E471" i="1"/>
  <c r="F1080" i="1"/>
  <c r="E1080" i="1"/>
  <c r="F616" i="1"/>
  <c r="E616" i="1"/>
  <c r="F423" i="1"/>
  <c r="E423" i="1"/>
  <c r="F569" i="1"/>
  <c r="E569" i="1"/>
  <c r="F841" i="1"/>
  <c r="E841" i="1"/>
  <c r="F463" i="1"/>
  <c r="E463" i="1"/>
  <c r="F444" i="1"/>
  <c r="E444" i="1"/>
  <c r="F764" i="1"/>
  <c r="E764" i="1"/>
  <c r="F384" i="1"/>
  <c r="E384" i="1"/>
  <c r="F453" i="1"/>
  <c r="E453" i="1"/>
  <c r="F472" i="1"/>
  <c r="E472" i="1"/>
  <c r="F712" i="1"/>
  <c r="E712" i="1"/>
  <c r="F1144" i="1"/>
  <c r="E1144" i="1"/>
  <c r="F683" i="1"/>
  <c r="E683" i="1"/>
  <c r="F1183" i="1"/>
  <c r="E1183" i="1"/>
  <c r="F585" i="1"/>
  <c r="E585" i="1"/>
  <c r="F1129" i="1"/>
  <c r="E1129" i="1"/>
  <c r="E687" i="1"/>
  <c r="F687" i="1"/>
  <c r="F418" i="1"/>
  <c r="E418" i="1"/>
  <c r="F495" i="1"/>
  <c r="E495" i="1"/>
  <c r="F324" i="1"/>
  <c r="E324" i="1"/>
  <c r="F644" i="1"/>
  <c r="E644" i="1"/>
  <c r="F836" i="1"/>
  <c r="E836" i="1"/>
  <c r="F301" i="1"/>
  <c r="E301" i="1"/>
  <c r="F613" i="1"/>
  <c r="E613" i="1"/>
  <c r="F263" i="1"/>
  <c r="E263" i="1"/>
  <c r="F848" i="1"/>
  <c r="E848" i="1"/>
  <c r="F1096" i="1"/>
  <c r="E1096" i="1"/>
  <c r="F287" i="1"/>
  <c r="E287" i="1"/>
  <c r="F967" i="1"/>
  <c r="E967" i="1"/>
  <c r="F593" i="1"/>
  <c r="E593" i="1"/>
  <c r="F347" i="1"/>
  <c r="E347" i="1"/>
  <c r="F815" i="1"/>
  <c r="E815" i="1"/>
  <c r="F433" i="1"/>
  <c r="E433" i="1"/>
  <c r="F618" i="1"/>
  <c r="E618" i="1"/>
  <c r="F450" i="1"/>
  <c r="E450" i="1"/>
  <c r="F959" i="1"/>
  <c r="E959" i="1"/>
  <c r="F524" i="1"/>
  <c r="E524" i="1"/>
  <c r="F780" i="1"/>
  <c r="E780" i="1"/>
  <c r="F1156" i="1"/>
  <c r="E1156" i="1"/>
  <c r="F493" i="1"/>
  <c r="E493" i="1"/>
  <c r="E408" i="1"/>
  <c r="F408" i="1"/>
  <c r="F880" i="1"/>
  <c r="E880" i="1"/>
  <c r="F1160" i="1"/>
  <c r="E1160" i="1"/>
  <c r="F551" i="1"/>
  <c r="E551" i="1"/>
  <c r="E823" i="1"/>
  <c r="F823" i="1"/>
  <c r="F1073" i="1"/>
  <c r="E1073" i="1"/>
  <c r="F405" i="1"/>
  <c r="E405" i="1"/>
  <c r="F385" i="1"/>
  <c r="E385" i="1"/>
  <c r="F275" i="1"/>
  <c r="E275" i="1"/>
  <c r="E514" i="1"/>
  <c r="F514" i="1"/>
  <c r="F290" i="1"/>
  <c r="E290" i="1"/>
  <c r="F546" i="1"/>
  <c r="E546" i="1"/>
  <c r="F270" i="1"/>
  <c r="E270" i="1"/>
  <c r="F367" i="1"/>
  <c r="E367" i="1"/>
  <c r="F639" i="1"/>
  <c r="E639" i="1"/>
  <c r="F583" i="1"/>
  <c r="E583" i="1"/>
  <c r="F292" i="1"/>
  <c r="E292" i="1"/>
  <c r="F356" i="1"/>
  <c r="E356" i="1"/>
  <c r="F420" i="1"/>
  <c r="E420" i="1"/>
  <c r="F484" i="1"/>
  <c r="E484" i="1"/>
  <c r="F548" i="1"/>
  <c r="E548" i="1"/>
  <c r="F612" i="1"/>
  <c r="E612" i="1"/>
  <c r="F676" i="1"/>
  <c r="E676" i="1"/>
  <c r="F740" i="1"/>
  <c r="E740" i="1"/>
  <c r="F804" i="1"/>
  <c r="E804" i="1"/>
  <c r="F868" i="1"/>
  <c r="E868" i="1"/>
  <c r="F932" i="1"/>
  <c r="E932" i="1"/>
  <c r="F1036" i="1"/>
  <c r="E1036" i="1"/>
  <c r="F1220" i="1"/>
  <c r="E1220" i="1"/>
  <c r="F1207" i="1"/>
  <c r="E1207" i="1"/>
  <c r="F333" i="1"/>
  <c r="E333" i="1"/>
  <c r="F429" i="1"/>
  <c r="E429" i="1"/>
  <c r="F517" i="1"/>
  <c r="E517" i="1"/>
  <c r="F685" i="1"/>
  <c r="E685" i="1"/>
  <c r="F821" i="1"/>
  <c r="E821" i="1"/>
  <c r="F1007" i="1"/>
  <c r="E1007" i="1"/>
  <c r="F312" i="1"/>
  <c r="E312" i="1"/>
  <c r="F432" i="1"/>
  <c r="E432" i="1"/>
  <c r="F544" i="1"/>
  <c r="E544" i="1"/>
  <c r="F680" i="1"/>
  <c r="E680" i="1"/>
  <c r="F800" i="1"/>
  <c r="E800" i="1"/>
  <c r="F936" i="1"/>
  <c r="E936" i="1"/>
  <c r="F1008" i="1"/>
  <c r="E1008" i="1"/>
  <c r="F1064" i="1"/>
  <c r="E1064" i="1"/>
  <c r="F1127" i="1"/>
  <c r="E1127" i="1"/>
  <c r="F1184" i="1"/>
  <c r="E1184" i="1"/>
  <c r="E1240" i="1"/>
  <c r="F1240" i="1"/>
  <c r="F490" i="1"/>
  <c r="E490" i="1"/>
  <c r="F1087" i="1"/>
  <c r="E1087" i="1"/>
  <c r="F359" i="1"/>
  <c r="E359" i="1"/>
  <c r="F607" i="1"/>
  <c r="E607" i="1"/>
  <c r="F863" i="1"/>
  <c r="E863" i="1"/>
  <c r="E1095" i="1"/>
  <c r="F1095" i="1"/>
  <c r="F672" i="1"/>
  <c r="E672" i="1"/>
  <c r="F872" i="1"/>
  <c r="E872" i="1"/>
  <c r="F537" i="1"/>
  <c r="E537" i="1"/>
  <c r="F673" i="1"/>
  <c r="E673" i="1"/>
  <c r="F769" i="1"/>
  <c r="E769" i="1"/>
  <c r="F1097" i="1"/>
  <c r="E1097" i="1"/>
  <c r="F1193" i="1"/>
  <c r="E1193" i="1"/>
  <c r="F682" i="1"/>
  <c r="E682" i="1"/>
  <c r="F1155" i="1"/>
  <c r="E1155" i="1"/>
  <c r="E541" i="1"/>
  <c r="F541" i="1"/>
  <c r="E997" i="1"/>
  <c r="F997" i="1"/>
  <c r="F464" i="1"/>
  <c r="E464" i="1"/>
  <c r="F281" i="1"/>
  <c r="E281" i="1"/>
  <c r="F337" i="1"/>
  <c r="E337" i="1"/>
  <c r="F401" i="1"/>
  <c r="E401" i="1"/>
  <c r="F489" i="1"/>
  <c r="E489" i="1"/>
  <c r="F1017" i="1"/>
  <c r="E1017" i="1"/>
  <c r="F1189" i="1"/>
  <c r="E1189" i="1"/>
  <c r="F530" i="1"/>
  <c r="E530" i="1"/>
  <c r="F706" i="1"/>
  <c r="E706" i="1"/>
  <c r="E930" i="1"/>
  <c r="F930" i="1"/>
  <c r="F1178" i="1"/>
  <c r="E1178" i="1"/>
  <c r="F315" i="1"/>
  <c r="E315" i="1"/>
  <c r="E371" i="1"/>
  <c r="F371" i="1"/>
  <c r="F419" i="1"/>
  <c r="E419" i="1"/>
  <c r="F466" i="1"/>
  <c r="E466" i="1"/>
  <c r="F531" i="1"/>
  <c r="E531" i="1"/>
  <c r="F693" i="1"/>
  <c r="E693" i="1"/>
  <c r="F521" i="1"/>
  <c r="E521" i="1"/>
  <c r="F649" i="1"/>
  <c r="E649" i="1"/>
  <c r="F953" i="1"/>
  <c r="E953" i="1"/>
  <c r="F323" i="1"/>
  <c r="E323" i="1"/>
  <c r="F891" i="1"/>
  <c r="E891" i="1"/>
  <c r="F1194" i="1"/>
  <c r="E1194" i="1"/>
  <c r="F793" i="1"/>
  <c r="E793" i="1"/>
  <c r="F691" i="1"/>
  <c r="E691" i="1"/>
  <c r="F598" i="1"/>
  <c r="E598" i="1"/>
  <c r="F1006" i="1"/>
  <c r="E1006" i="1"/>
  <c r="F931" i="1"/>
  <c r="E931" i="1"/>
  <c r="F1211" i="1"/>
  <c r="E1211" i="1"/>
  <c r="F882" i="1"/>
  <c r="E882" i="1"/>
  <c r="F1076" i="1"/>
  <c r="E1076" i="1"/>
  <c r="F1012" i="1"/>
  <c r="E1012" i="1"/>
  <c r="F605" i="1"/>
  <c r="E605" i="1"/>
  <c r="F805" i="1"/>
  <c r="E805" i="1"/>
  <c r="F957" i="1"/>
  <c r="E957" i="1"/>
  <c r="E1077" i="1"/>
  <c r="F1077" i="1"/>
  <c r="F1165" i="1"/>
  <c r="E1165" i="1"/>
  <c r="E392" i="1"/>
  <c r="F392" i="1"/>
  <c r="F917" i="1"/>
  <c r="E917" i="1"/>
  <c r="F1157" i="1"/>
  <c r="E1157" i="1"/>
  <c r="E446" i="1"/>
  <c r="F446" i="1"/>
  <c r="E518" i="1"/>
  <c r="F518" i="1"/>
  <c r="F597" i="1"/>
  <c r="E597" i="1"/>
  <c r="F670" i="1"/>
  <c r="E670" i="1"/>
  <c r="F774" i="1"/>
  <c r="E774" i="1"/>
  <c r="F838" i="1"/>
  <c r="E838" i="1"/>
  <c r="F950" i="1"/>
  <c r="E950" i="1"/>
  <c r="F1046" i="1"/>
  <c r="E1046" i="1"/>
  <c r="F1182" i="1"/>
  <c r="E1182" i="1"/>
  <c r="E698" i="1"/>
  <c r="F698" i="1"/>
  <c r="F779" i="1"/>
  <c r="E779" i="1"/>
  <c r="E915" i="1"/>
  <c r="F915" i="1"/>
  <c r="F1027" i="1"/>
  <c r="E1027" i="1"/>
  <c r="C24" i="2"/>
  <c r="C26" i="2" s="1"/>
  <c r="M17" i="1"/>
  <c r="M7" i="1"/>
  <c r="D24" i="2"/>
  <c r="D26" i="2" s="1"/>
  <c r="F25" i="2"/>
  <c r="E25" i="2"/>
  <c r="D25" i="2"/>
  <c r="C27" i="2"/>
  <c r="C28" i="2" l="1"/>
  <c r="F24" i="2"/>
  <c r="F26" i="2" s="1"/>
  <c r="F30" i="2" s="1"/>
  <c r="C30" i="2"/>
  <c r="C33" i="2" s="1"/>
  <c r="D27" i="2"/>
  <c r="D28" i="2" s="1"/>
  <c r="D30" i="2"/>
  <c r="E27" i="2"/>
  <c r="F27" i="2"/>
  <c r="L17" i="1"/>
  <c r="E24" i="2"/>
  <c r="E26" i="2" s="1"/>
  <c r="E28" i="2" s="1"/>
  <c r="C32" i="2" l="1"/>
  <c r="F28" i="2"/>
  <c r="F33" i="2"/>
  <c r="F32" i="2"/>
  <c r="E30" i="2"/>
  <c r="D33" i="2"/>
  <c r="D32" i="2"/>
  <c r="E33" i="2" l="1"/>
  <c r="E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87A172-3EB2-794C-AA24-EEE5EC82EAF0}" name="aapl_us_d" type="6" refreshedVersion="8" background="1" saveData="1">
    <textPr sourceFile="/Users/beczegergo/Downloads/aapl_us_d.csv" decimal="," thousands=" 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<sst xmlns="http://schemas.openxmlformats.org/spreadsheetml/2006/main" count="1313" uniqueCount="43">
  <si>
    <t>Date</t>
  </si>
  <si>
    <t>Daily Closing Price</t>
  </si>
  <si>
    <t>Return</t>
  </si>
  <si>
    <t>Confidence level</t>
  </si>
  <si>
    <t>Return percentile</t>
  </si>
  <si>
    <t>VaR(% of position)</t>
  </si>
  <si>
    <t>Assumed position size($)</t>
  </si>
  <si>
    <t>VaR($)</t>
  </si>
  <si>
    <t>Mean daily return</t>
  </si>
  <si>
    <t>Std. Dev. of daily return</t>
  </si>
  <si>
    <t>Historical Simulation VaR</t>
  </si>
  <si>
    <t>Parametric VaR</t>
  </si>
  <si>
    <t>Z-score</t>
  </si>
  <si>
    <t>Parametric VaR(% of position)</t>
  </si>
  <si>
    <t>Parametric VaR($)</t>
  </si>
  <si>
    <t>Observations</t>
  </si>
  <si>
    <t>Actual breaches</t>
  </si>
  <si>
    <t>Expected breaches</t>
  </si>
  <si>
    <t>Violation ratio</t>
  </si>
  <si>
    <t>Historical 95%</t>
  </si>
  <si>
    <t>Historical 99%</t>
  </si>
  <si>
    <t>Parametric 95%</t>
  </si>
  <si>
    <t>Parametric 99%</t>
  </si>
  <si>
    <t>Kupiec LR statistic</t>
  </si>
  <si>
    <t>Chi-square critical value</t>
  </si>
  <si>
    <t>p-value</t>
  </si>
  <si>
    <t>Kupiec result</t>
  </si>
  <si>
    <t>Rolling Std. dev.(250 days)</t>
  </si>
  <si>
    <t>Rolling VaR %(95%)</t>
  </si>
  <si>
    <t>Rolling VaR %(99%)</t>
  </si>
  <si>
    <t>-</t>
  </si>
  <si>
    <t>Negative rolling VaR(95%)</t>
  </si>
  <si>
    <t>Negative rolling VaR(99%)</t>
  </si>
  <si>
    <t>Neg. VaR(95%)</t>
  </si>
  <si>
    <t>Neg. VaR(99%)</t>
  </si>
  <si>
    <t>Stress test</t>
  </si>
  <si>
    <t>Volatility shock</t>
  </si>
  <si>
    <t>Shocked Std. Dev.</t>
  </si>
  <si>
    <t>Shocked VaR $ (99%)</t>
  </si>
  <si>
    <t>% change vs baseline</t>
  </si>
  <si>
    <t>Shocked VaR % (99%)</t>
  </si>
  <si>
    <t>Backtest &amp; Kupiec test</t>
  </si>
  <si>
    <t>p(expected failure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</si>
</sst>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0" fillId="3" borderId="0" xfId="0" applyFill="1"/>
    <xf numFmtId="0" fontId="0" fillId="3" borderId="2" xfId="0" applyFill="1" applyBorder="1"/>
    <xf numFmtId="0" fontId="2" fillId="3" borderId="0" xfId="0" applyFont="1" applyFill="1"/>
    <xf numFmtId="0" fontId="0" fillId="4" borderId="0" xfId="0" applyFill="1"/>
    <xf numFmtId="0" fontId="0" fillId="0" borderId="0" xfId="0" applyAlignment="1">
      <alignment horizontal="right"/>
    </xf>
    <xf numFmtId="0" fontId="0" fillId="5" borderId="0" xfId="0" applyFill="1"/>
    <xf numFmtId="9" fontId="0" fillId="5" borderId="0" xfId="0" applyNumberFormat="1" applyFill="1"/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>
                <a:solidFill>
                  <a:schemeClr val="accent1"/>
                </a:solidFill>
              </a:rPr>
              <a:t>Daily return vs rolling VaR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Return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Chart!$A$2:$A$1006</c:f>
              <c:numCache>
                <c:formatCode>m/d/yy</c:formatCode>
                <c:ptCount val="1005"/>
                <c:pt idx="0">
                  <c:v>44770</c:v>
                </c:pt>
                <c:pt idx="1">
                  <c:v>44771</c:v>
                </c:pt>
                <c:pt idx="2">
                  <c:v>44774</c:v>
                </c:pt>
                <c:pt idx="3">
                  <c:v>44775</c:v>
                </c:pt>
                <c:pt idx="4">
                  <c:v>44776</c:v>
                </c:pt>
                <c:pt idx="5">
                  <c:v>44777</c:v>
                </c:pt>
                <c:pt idx="6">
                  <c:v>44778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44788</c:v>
                </c:pt>
                <c:pt idx="13">
                  <c:v>44789</c:v>
                </c:pt>
                <c:pt idx="14">
                  <c:v>44790</c:v>
                </c:pt>
                <c:pt idx="15">
                  <c:v>44791</c:v>
                </c:pt>
                <c:pt idx="16">
                  <c:v>44792</c:v>
                </c:pt>
                <c:pt idx="17">
                  <c:v>44795</c:v>
                </c:pt>
                <c:pt idx="18">
                  <c:v>44796</c:v>
                </c:pt>
                <c:pt idx="19">
                  <c:v>44797</c:v>
                </c:pt>
                <c:pt idx="20">
                  <c:v>44798</c:v>
                </c:pt>
                <c:pt idx="21">
                  <c:v>44799</c:v>
                </c:pt>
                <c:pt idx="22">
                  <c:v>44802</c:v>
                </c:pt>
                <c:pt idx="23">
                  <c:v>44803</c:v>
                </c:pt>
                <c:pt idx="24">
                  <c:v>44804</c:v>
                </c:pt>
                <c:pt idx="25">
                  <c:v>44805</c:v>
                </c:pt>
                <c:pt idx="26">
                  <c:v>44806</c:v>
                </c:pt>
                <c:pt idx="27">
                  <c:v>44810</c:v>
                </c:pt>
                <c:pt idx="28">
                  <c:v>44811</c:v>
                </c:pt>
                <c:pt idx="29">
                  <c:v>44812</c:v>
                </c:pt>
                <c:pt idx="30">
                  <c:v>44813</c:v>
                </c:pt>
                <c:pt idx="31">
                  <c:v>44816</c:v>
                </c:pt>
                <c:pt idx="32">
                  <c:v>44817</c:v>
                </c:pt>
                <c:pt idx="33">
                  <c:v>44818</c:v>
                </c:pt>
                <c:pt idx="34">
                  <c:v>44819</c:v>
                </c:pt>
                <c:pt idx="35">
                  <c:v>44820</c:v>
                </c:pt>
                <c:pt idx="36">
                  <c:v>44823</c:v>
                </c:pt>
                <c:pt idx="37">
                  <c:v>44824</c:v>
                </c:pt>
                <c:pt idx="38">
                  <c:v>44825</c:v>
                </c:pt>
                <c:pt idx="39">
                  <c:v>44826</c:v>
                </c:pt>
                <c:pt idx="40">
                  <c:v>44827</c:v>
                </c:pt>
                <c:pt idx="41">
                  <c:v>44830</c:v>
                </c:pt>
                <c:pt idx="42">
                  <c:v>44831</c:v>
                </c:pt>
                <c:pt idx="43">
                  <c:v>44832</c:v>
                </c:pt>
                <c:pt idx="44">
                  <c:v>44833</c:v>
                </c:pt>
                <c:pt idx="45">
                  <c:v>44834</c:v>
                </c:pt>
                <c:pt idx="46">
                  <c:v>44837</c:v>
                </c:pt>
                <c:pt idx="47">
                  <c:v>44838</c:v>
                </c:pt>
                <c:pt idx="48">
                  <c:v>44839</c:v>
                </c:pt>
                <c:pt idx="49">
                  <c:v>44840</c:v>
                </c:pt>
                <c:pt idx="50">
                  <c:v>44841</c:v>
                </c:pt>
                <c:pt idx="51">
                  <c:v>44844</c:v>
                </c:pt>
                <c:pt idx="52">
                  <c:v>44845</c:v>
                </c:pt>
                <c:pt idx="53">
                  <c:v>44846</c:v>
                </c:pt>
                <c:pt idx="54">
                  <c:v>44847</c:v>
                </c:pt>
                <c:pt idx="55">
                  <c:v>44848</c:v>
                </c:pt>
                <c:pt idx="56">
                  <c:v>44851</c:v>
                </c:pt>
                <c:pt idx="57">
                  <c:v>44852</c:v>
                </c:pt>
                <c:pt idx="58">
                  <c:v>44853</c:v>
                </c:pt>
                <c:pt idx="59">
                  <c:v>44854</c:v>
                </c:pt>
                <c:pt idx="60">
                  <c:v>44855</c:v>
                </c:pt>
                <c:pt idx="61">
                  <c:v>44858</c:v>
                </c:pt>
                <c:pt idx="62">
                  <c:v>44859</c:v>
                </c:pt>
                <c:pt idx="63">
                  <c:v>44860</c:v>
                </c:pt>
                <c:pt idx="64">
                  <c:v>44861</c:v>
                </c:pt>
                <c:pt idx="65">
                  <c:v>44862</c:v>
                </c:pt>
                <c:pt idx="66">
                  <c:v>44865</c:v>
                </c:pt>
                <c:pt idx="67">
                  <c:v>44866</c:v>
                </c:pt>
                <c:pt idx="68">
                  <c:v>44867</c:v>
                </c:pt>
                <c:pt idx="69">
                  <c:v>44868</c:v>
                </c:pt>
                <c:pt idx="70">
                  <c:v>44869</c:v>
                </c:pt>
                <c:pt idx="71">
                  <c:v>44872</c:v>
                </c:pt>
                <c:pt idx="72">
                  <c:v>44873</c:v>
                </c:pt>
                <c:pt idx="73">
                  <c:v>44874</c:v>
                </c:pt>
                <c:pt idx="74">
                  <c:v>44875</c:v>
                </c:pt>
                <c:pt idx="75">
                  <c:v>44876</c:v>
                </c:pt>
                <c:pt idx="76">
                  <c:v>44879</c:v>
                </c:pt>
                <c:pt idx="77">
                  <c:v>44880</c:v>
                </c:pt>
                <c:pt idx="78">
                  <c:v>44881</c:v>
                </c:pt>
                <c:pt idx="79">
                  <c:v>44882</c:v>
                </c:pt>
                <c:pt idx="80">
                  <c:v>44883</c:v>
                </c:pt>
                <c:pt idx="81">
                  <c:v>44886</c:v>
                </c:pt>
                <c:pt idx="82">
                  <c:v>44887</c:v>
                </c:pt>
                <c:pt idx="83">
                  <c:v>44888</c:v>
                </c:pt>
                <c:pt idx="84">
                  <c:v>44890</c:v>
                </c:pt>
                <c:pt idx="85">
                  <c:v>44893</c:v>
                </c:pt>
                <c:pt idx="86">
                  <c:v>44894</c:v>
                </c:pt>
                <c:pt idx="87">
                  <c:v>44895</c:v>
                </c:pt>
                <c:pt idx="88">
                  <c:v>44896</c:v>
                </c:pt>
                <c:pt idx="89">
                  <c:v>44897</c:v>
                </c:pt>
                <c:pt idx="90">
                  <c:v>44900</c:v>
                </c:pt>
                <c:pt idx="91">
                  <c:v>44901</c:v>
                </c:pt>
                <c:pt idx="92">
                  <c:v>44902</c:v>
                </c:pt>
                <c:pt idx="93">
                  <c:v>44903</c:v>
                </c:pt>
                <c:pt idx="94">
                  <c:v>44904</c:v>
                </c:pt>
                <c:pt idx="95">
                  <c:v>44907</c:v>
                </c:pt>
                <c:pt idx="96">
                  <c:v>44908</c:v>
                </c:pt>
                <c:pt idx="97">
                  <c:v>44909</c:v>
                </c:pt>
                <c:pt idx="98">
                  <c:v>44910</c:v>
                </c:pt>
                <c:pt idx="99">
                  <c:v>44911</c:v>
                </c:pt>
                <c:pt idx="100">
                  <c:v>44914</c:v>
                </c:pt>
                <c:pt idx="101">
                  <c:v>44915</c:v>
                </c:pt>
                <c:pt idx="102">
                  <c:v>44916</c:v>
                </c:pt>
                <c:pt idx="103">
                  <c:v>44917</c:v>
                </c:pt>
                <c:pt idx="104">
                  <c:v>44918</c:v>
                </c:pt>
                <c:pt idx="105">
                  <c:v>44922</c:v>
                </c:pt>
                <c:pt idx="106">
                  <c:v>44923</c:v>
                </c:pt>
                <c:pt idx="107">
                  <c:v>44924</c:v>
                </c:pt>
                <c:pt idx="108">
                  <c:v>44925</c:v>
                </c:pt>
                <c:pt idx="109">
                  <c:v>44929</c:v>
                </c:pt>
                <c:pt idx="110">
                  <c:v>44930</c:v>
                </c:pt>
                <c:pt idx="111">
                  <c:v>44931</c:v>
                </c:pt>
                <c:pt idx="112">
                  <c:v>44932</c:v>
                </c:pt>
                <c:pt idx="113">
                  <c:v>44935</c:v>
                </c:pt>
                <c:pt idx="114">
                  <c:v>44936</c:v>
                </c:pt>
                <c:pt idx="115">
                  <c:v>44937</c:v>
                </c:pt>
                <c:pt idx="116">
                  <c:v>44938</c:v>
                </c:pt>
                <c:pt idx="117">
                  <c:v>44939</c:v>
                </c:pt>
                <c:pt idx="118">
                  <c:v>44943</c:v>
                </c:pt>
                <c:pt idx="119">
                  <c:v>44944</c:v>
                </c:pt>
                <c:pt idx="120">
                  <c:v>44945</c:v>
                </c:pt>
                <c:pt idx="121">
                  <c:v>44946</c:v>
                </c:pt>
                <c:pt idx="122">
                  <c:v>44949</c:v>
                </c:pt>
                <c:pt idx="123">
                  <c:v>44950</c:v>
                </c:pt>
                <c:pt idx="124">
                  <c:v>44951</c:v>
                </c:pt>
                <c:pt idx="125">
                  <c:v>44952</c:v>
                </c:pt>
                <c:pt idx="126">
                  <c:v>44953</c:v>
                </c:pt>
                <c:pt idx="127">
                  <c:v>44956</c:v>
                </c:pt>
                <c:pt idx="128">
                  <c:v>44957</c:v>
                </c:pt>
                <c:pt idx="129">
                  <c:v>44958</c:v>
                </c:pt>
                <c:pt idx="130">
                  <c:v>44959</c:v>
                </c:pt>
                <c:pt idx="131">
                  <c:v>44960</c:v>
                </c:pt>
                <c:pt idx="132">
                  <c:v>44963</c:v>
                </c:pt>
                <c:pt idx="133">
                  <c:v>44964</c:v>
                </c:pt>
                <c:pt idx="134">
                  <c:v>44965</c:v>
                </c:pt>
                <c:pt idx="135">
                  <c:v>44966</c:v>
                </c:pt>
                <c:pt idx="136">
                  <c:v>44967</c:v>
                </c:pt>
                <c:pt idx="137">
                  <c:v>44970</c:v>
                </c:pt>
                <c:pt idx="138">
                  <c:v>44971</c:v>
                </c:pt>
                <c:pt idx="139">
                  <c:v>44972</c:v>
                </c:pt>
                <c:pt idx="140">
                  <c:v>44973</c:v>
                </c:pt>
                <c:pt idx="141">
                  <c:v>44974</c:v>
                </c:pt>
                <c:pt idx="142">
                  <c:v>44978</c:v>
                </c:pt>
                <c:pt idx="143">
                  <c:v>44979</c:v>
                </c:pt>
                <c:pt idx="144">
                  <c:v>44980</c:v>
                </c:pt>
                <c:pt idx="145">
                  <c:v>44981</c:v>
                </c:pt>
                <c:pt idx="146">
                  <c:v>44984</c:v>
                </c:pt>
                <c:pt idx="147">
                  <c:v>44985</c:v>
                </c:pt>
                <c:pt idx="148">
                  <c:v>44986</c:v>
                </c:pt>
                <c:pt idx="149">
                  <c:v>44987</c:v>
                </c:pt>
                <c:pt idx="150">
                  <c:v>44988</c:v>
                </c:pt>
                <c:pt idx="151">
                  <c:v>44991</c:v>
                </c:pt>
                <c:pt idx="152">
                  <c:v>44992</c:v>
                </c:pt>
                <c:pt idx="153">
                  <c:v>44993</c:v>
                </c:pt>
                <c:pt idx="154">
                  <c:v>44994</c:v>
                </c:pt>
                <c:pt idx="155">
                  <c:v>44995</c:v>
                </c:pt>
                <c:pt idx="156">
                  <c:v>44998</c:v>
                </c:pt>
                <c:pt idx="157">
                  <c:v>44999</c:v>
                </c:pt>
                <c:pt idx="158">
                  <c:v>45000</c:v>
                </c:pt>
                <c:pt idx="159">
                  <c:v>45001</c:v>
                </c:pt>
                <c:pt idx="160">
                  <c:v>45002</c:v>
                </c:pt>
                <c:pt idx="161">
                  <c:v>45005</c:v>
                </c:pt>
                <c:pt idx="162">
                  <c:v>45006</c:v>
                </c:pt>
                <c:pt idx="163">
                  <c:v>45007</c:v>
                </c:pt>
                <c:pt idx="164">
                  <c:v>45008</c:v>
                </c:pt>
                <c:pt idx="165">
                  <c:v>45009</c:v>
                </c:pt>
                <c:pt idx="166">
                  <c:v>45012</c:v>
                </c:pt>
                <c:pt idx="167">
                  <c:v>45013</c:v>
                </c:pt>
                <c:pt idx="168">
                  <c:v>45014</c:v>
                </c:pt>
                <c:pt idx="169">
                  <c:v>45015</c:v>
                </c:pt>
                <c:pt idx="170">
                  <c:v>45016</c:v>
                </c:pt>
                <c:pt idx="171">
                  <c:v>45019</c:v>
                </c:pt>
                <c:pt idx="172">
                  <c:v>45020</c:v>
                </c:pt>
                <c:pt idx="173">
                  <c:v>45021</c:v>
                </c:pt>
                <c:pt idx="174">
                  <c:v>45022</c:v>
                </c:pt>
                <c:pt idx="175">
                  <c:v>45026</c:v>
                </c:pt>
                <c:pt idx="176">
                  <c:v>45027</c:v>
                </c:pt>
                <c:pt idx="177">
                  <c:v>45028</c:v>
                </c:pt>
                <c:pt idx="178">
                  <c:v>45029</c:v>
                </c:pt>
                <c:pt idx="179">
                  <c:v>45030</c:v>
                </c:pt>
                <c:pt idx="180">
                  <c:v>45033</c:v>
                </c:pt>
                <c:pt idx="181">
                  <c:v>45034</c:v>
                </c:pt>
                <c:pt idx="182">
                  <c:v>45035</c:v>
                </c:pt>
                <c:pt idx="183">
                  <c:v>45036</c:v>
                </c:pt>
                <c:pt idx="184">
                  <c:v>45037</c:v>
                </c:pt>
                <c:pt idx="185">
                  <c:v>45040</c:v>
                </c:pt>
                <c:pt idx="186">
                  <c:v>45041</c:v>
                </c:pt>
                <c:pt idx="187">
                  <c:v>45042</c:v>
                </c:pt>
                <c:pt idx="188">
                  <c:v>45043</c:v>
                </c:pt>
                <c:pt idx="189">
                  <c:v>45044</c:v>
                </c:pt>
                <c:pt idx="190">
                  <c:v>45047</c:v>
                </c:pt>
                <c:pt idx="191">
                  <c:v>45048</c:v>
                </c:pt>
                <c:pt idx="192">
                  <c:v>45049</c:v>
                </c:pt>
                <c:pt idx="193">
                  <c:v>45050</c:v>
                </c:pt>
                <c:pt idx="194">
                  <c:v>45051</c:v>
                </c:pt>
                <c:pt idx="195">
                  <c:v>45054</c:v>
                </c:pt>
                <c:pt idx="196">
                  <c:v>45055</c:v>
                </c:pt>
                <c:pt idx="197">
                  <c:v>45056</c:v>
                </c:pt>
                <c:pt idx="198">
                  <c:v>45057</c:v>
                </c:pt>
                <c:pt idx="199">
                  <c:v>45058</c:v>
                </c:pt>
                <c:pt idx="200">
                  <c:v>45061</c:v>
                </c:pt>
                <c:pt idx="201">
                  <c:v>45062</c:v>
                </c:pt>
                <c:pt idx="202">
                  <c:v>45063</c:v>
                </c:pt>
                <c:pt idx="203">
                  <c:v>45064</c:v>
                </c:pt>
                <c:pt idx="204">
                  <c:v>45065</c:v>
                </c:pt>
                <c:pt idx="205">
                  <c:v>45068</c:v>
                </c:pt>
                <c:pt idx="206">
                  <c:v>45069</c:v>
                </c:pt>
                <c:pt idx="207">
                  <c:v>45070</c:v>
                </c:pt>
                <c:pt idx="208">
                  <c:v>45071</c:v>
                </c:pt>
                <c:pt idx="209">
                  <c:v>45072</c:v>
                </c:pt>
                <c:pt idx="210">
                  <c:v>45076</c:v>
                </c:pt>
                <c:pt idx="211">
                  <c:v>45077</c:v>
                </c:pt>
                <c:pt idx="212">
                  <c:v>45078</c:v>
                </c:pt>
                <c:pt idx="213">
                  <c:v>45079</c:v>
                </c:pt>
                <c:pt idx="214">
                  <c:v>45082</c:v>
                </c:pt>
                <c:pt idx="215">
                  <c:v>45083</c:v>
                </c:pt>
                <c:pt idx="216">
                  <c:v>45084</c:v>
                </c:pt>
                <c:pt idx="217">
                  <c:v>45085</c:v>
                </c:pt>
                <c:pt idx="218">
                  <c:v>45086</c:v>
                </c:pt>
                <c:pt idx="219">
                  <c:v>45089</c:v>
                </c:pt>
                <c:pt idx="220">
                  <c:v>45090</c:v>
                </c:pt>
                <c:pt idx="221">
                  <c:v>45091</c:v>
                </c:pt>
                <c:pt idx="222">
                  <c:v>45092</c:v>
                </c:pt>
                <c:pt idx="223">
                  <c:v>45093</c:v>
                </c:pt>
                <c:pt idx="224">
                  <c:v>45097</c:v>
                </c:pt>
                <c:pt idx="225">
                  <c:v>45098</c:v>
                </c:pt>
                <c:pt idx="226">
                  <c:v>45099</c:v>
                </c:pt>
                <c:pt idx="227">
                  <c:v>45100</c:v>
                </c:pt>
                <c:pt idx="228">
                  <c:v>45103</c:v>
                </c:pt>
                <c:pt idx="229">
                  <c:v>45104</c:v>
                </c:pt>
                <c:pt idx="230">
                  <c:v>45105</c:v>
                </c:pt>
                <c:pt idx="231">
                  <c:v>45106</c:v>
                </c:pt>
                <c:pt idx="232">
                  <c:v>45107</c:v>
                </c:pt>
                <c:pt idx="233">
                  <c:v>45110</c:v>
                </c:pt>
                <c:pt idx="234">
                  <c:v>45112</c:v>
                </c:pt>
                <c:pt idx="235">
                  <c:v>45113</c:v>
                </c:pt>
                <c:pt idx="236">
                  <c:v>45114</c:v>
                </c:pt>
                <c:pt idx="237">
                  <c:v>45117</c:v>
                </c:pt>
                <c:pt idx="238">
                  <c:v>45118</c:v>
                </c:pt>
                <c:pt idx="239">
                  <c:v>45119</c:v>
                </c:pt>
                <c:pt idx="240">
                  <c:v>45120</c:v>
                </c:pt>
                <c:pt idx="241">
                  <c:v>45121</c:v>
                </c:pt>
                <c:pt idx="242">
                  <c:v>45124</c:v>
                </c:pt>
                <c:pt idx="243">
                  <c:v>45125</c:v>
                </c:pt>
                <c:pt idx="244">
                  <c:v>45126</c:v>
                </c:pt>
                <c:pt idx="245">
                  <c:v>45127</c:v>
                </c:pt>
                <c:pt idx="246">
                  <c:v>45128</c:v>
                </c:pt>
                <c:pt idx="247">
                  <c:v>45131</c:v>
                </c:pt>
                <c:pt idx="248">
                  <c:v>45132</c:v>
                </c:pt>
                <c:pt idx="249">
                  <c:v>45133</c:v>
                </c:pt>
                <c:pt idx="250">
                  <c:v>45134</c:v>
                </c:pt>
                <c:pt idx="251">
                  <c:v>45135</c:v>
                </c:pt>
                <c:pt idx="252">
                  <c:v>45138</c:v>
                </c:pt>
                <c:pt idx="253">
                  <c:v>45139</c:v>
                </c:pt>
                <c:pt idx="254">
                  <c:v>45140</c:v>
                </c:pt>
                <c:pt idx="255">
                  <c:v>45141</c:v>
                </c:pt>
                <c:pt idx="256">
                  <c:v>45142</c:v>
                </c:pt>
                <c:pt idx="257">
                  <c:v>45145</c:v>
                </c:pt>
                <c:pt idx="258">
                  <c:v>45146</c:v>
                </c:pt>
                <c:pt idx="259">
                  <c:v>45147</c:v>
                </c:pt>
                <c:pt idx="260">
                  <c:v>45148</c:v>
                </c:pt>
                <c:pt idx="261">
                  <c:v>45149</c:v>
                </c:pt>
                <c:pt idx="262">
                  <c:v>45152</c:v>
                </c:pt>
                <c:pt idx="263">
                  <c:v>45153</c:v>
                </c:pt>
                <c:pt idx="264">
                  <c:v>45154</c:v>
                </c:pt>
                <c:pt idx="265">
                  <c:v>45155</c:v>
                </c:pt>
                <c:pt idx="266">
                  <c:v>45156</c:v>
                </c:pt>
                <c:pt idx="267">
                  <c:v>45159</c:v>
                </c:pt>
                <c:pt idx="268">
                  <c:v>45160</c:v>
                </c:pt>
                <c:pt idx="269">
                  <c:v>45161</c:v>
                </c:pt>
                <c:pt idx="270">
                  <c:v>45162</c:v>
                </c:pt>
                <c:pt idx="271">
                  <c:v>45163</c:v>
                </c:pt>
                <c:pt idx="272">
                  <c:v>45166</c:v>
                </c:pt>
                <c:pt idx="273">
                  <c:v>45167</c:v>
                </c:pt>
                <c:pt idx="274">
                  <c:v>45168</c:v>
                </c:pt>
                <c:pt idx="275">
                  <c:v>45169</c:v>
                </c:pt>
                <c:pt idx="276">
                  <c:v>45170</c:v>
                </c:pt>
                <c:pt idx="277">
                  <c:v>45174</c:v>
                </c:pt>
                <c:pt idx="278">
                  <c:v>45175</c:v>
                </c:pt>
                <c:pt idx="279">
                  <c:v>45176</c:v>
                </c:pt>
                <c:pt idx="280">
                  <c:v>45177</c:v>
                </c:pt>
                <c:pt idx="281">
                  <c:v>45180</c:v>
                </c:pt>
                <c:pt idx="282">
                  <c:v>45181</c:v>
                </c:pt>
                <c:pt idx="283">
                  <c:v>45182</c:v>
                </c:pt>
                <c:pt idx="284">
                  <c:v>45183</c:v>
                </c:pt>
                <c:pt idx="285">
                  <c:v>45184</c:v>
                </c:pt>
                <c:pt idx="286">
                  <c:v>45187</c:v>
                </c:pt>
                <c:pt idx="287">
                  <c:v>45188</c:v>
                </c:pt>
                <c:pt idx="288">
                  <c:v>45189</c:v>
                </c:pt>
                <c:pt idx="289">
                  <c:v>45190</c:v>
                </c:pt>
                <c:pt idx="290">
                  <c:v>45191</c:v>
                </c:pt>
                <c:pt idx="291">
                  <c:v>45194</c:v>
                </c:pt>
                <c:pt idx="292">
                  <c:v>45195</c:v>
                </c:pt>
                <c:pt idx="293">
                  <c:v>45196</c:v>
                </c:pt>
                <c:pt idx="294">
                  <c:v>45197</c:v>
                </c:pt>
                <c:pt idx="295">
                  <c:v>45198</c:v>
                </c:pt>
                <c:pt idx="296">
                  <c:v>45201</c:v>
                </c:pt>
                <c:pt idx="297">
                  <c:v>45202</c:v>
                </c:pt>
                <c:pt idx="298">
                  <c:v>45203</c:v>
                </c:pt>
                <c:pt idx="299">
                  <c:v>45204</c:v>
                </c:pt>
                <c:pt idx="300">
                  <c:v>45205</c:v>
                </c:pt>
                <c:pt idx="301">
                  <c:v>45208</c:v>
                </c:pt>
                <c:pt idx="302">
                  <c:v>45209</c:v>
                </c:pt>
                <c:pt idx="303">
                  <c:v>45210</c:v>
                </c:pt>
                <c:pt idx="304">
                  <c:v>45211</c:v>
                </c:pt>
                <c:pt idx="305">
                  <c:v>45212</c:v>
                </c:pt>
                <c:pt idx="306">
                  <c:v>45215</c:v>
                </c:pt>
                <c:pt idx="307">
                  <c:v>45216</c:v>
                </c:pt>
                <c:pt idx="308">
                  <c:v>45217</c:v>
                </c:pt>
                <c:pt idx="309">
                  <c:v>45218</c:v>
                </c:pt>
                <c:pt idx="310">
                  <c:v>45219</c:v>
                </c:pt>
                <c:pt idx="311">
                  <c:v>45222</c:v>
                </c:pt>
                <c:pt idx="312">
                  <c:v>45223</c:v>
                </c:pt>
                <c:pt idx="313">
                  <c:v>45224</c:v>
                </c:pt>
                <c:pt idx="314">
                  <c:v>45225</c:v>
                </c:pt>
                <c:pt idx="315">
                  <c:v>45226</c:v>
                </c:pt>
                <c:pt idx="316">
                  <c:v>45229</c:v>
                </c:pt>
                <c:pt idx="317">
                  <c:v>45230</c:v>
                </c:pt>
                <c:pt idx="318">
                  <c:v>45231</c:v>
                </c:pt>
                <c:pt idx="319">
                  <c:v>45232</c:v>
                </c:pt>
                <c:pt idx="320">
                  <c:v>45233</c:v>
                </c:pt>
                <c:pt idx="321">
                  <c:v>45236</c:v>
                </c:pt>
                <c:pt idx="322">
                  <c:v>45237</c:v>
                </c:pt>
                <c:pt idx="323">
                  <c:v>45238</c:v>
                </c:pt>
                <c:pt idx="324">
                  <c:v>45239</c:v>
                </c:pt>
                <c:pt idx="325">
                  <c:v>45240</c:v>
                </c:pt>
                <c:pt idx="326">
                  <c:v>45243</c:v>
                </c:pt>
                <c:pt idx="327">
                  <c:v>45244</c:v>
                </c:pt>
                <c:pt idx="328">
                  <c:v>45245</c:v>
                </c:pt>
                <c:pt idx="329">
                  <c:v>45246</c:v>
                </c:pt>
                <c:pt idx="330">
                  <c:v>45247</c:v>
                </c:pt>
                <c:pt idx="331">
                  <c:v>45250</c:v>
                </c:pt>
                <c:pt idx="332">
                  <c:v>45251</c:v>
                </c:pt>
                <c:pt idx="333">
                  <c:v>45252</c:v>
                </c:pt>
                <c:pt idx="334">
                  <c:v>45254</c:v>
                </c:pt>
                <c:pt idx="335">
                  <c:v>45257</c:v>
                </c:pt>
                <c:pt idx="336">
                  <c:v>45258</c:v>
                </c:pt>
                <c:pt idx="337">
                  <c:v>45259</c:v>
                </c:pt>
                <c:pt idx="338">
                  <c:v>45260</c:v>
                </c:pt>
                <c:pt idx="339">
                  <c:v>45261</c:v>
                </c:pt>
                <c:pt idx="340">
                  <c:v>45264</c:v>
                </c:pt>
                <c:pt idx="341">
                  <c:v>45265</c:v>
                </c:pt>
                <c:pt idx="342">
                  <c:v>45266</c:v>
                </c:pt>
                <c:pt idx="343">
                  <c:v>45267</c:v>
                </c:pt>
                <c:pt idx="344">
                  <c:v>45268</c:v>
                </c:pt>
                <c:pt idx="345">
                  <c:v>45271</c:v>
                </c:pt>
                <c:pt idx="346">
                  <c:v>45272</c:v>
                </c:pt>
                <c:pt idx="347">
                  <c:v>45273</c:v>
                </c:pt>
                <c:pt idx="348">
                  <c:v>45274</c:v>
                </c:pt>
                <c:pt idx="349">
                  <c:v>45275</c:v>
                </c:pt>
                <c:pt idx="350">
                  <c:v>45278</c:v>
                </c:pt>
                <c:pt idx="351">
                  <c:v>45279</c:v>
                </c:pt>
                <c:pt idx="352">
                  <c:v>45280</c:v>
                </c:pt>
                <c:pt idx="353">
                  <c:v>45281</c:v>
                </c:pt>
                <c:pt idx="354">
                  <c:v>45282</c:v>
                </c:pt>
                <c:pt idx="355">
                  <c:v>45286</c:v>
                </c:pt>
                <c:pt idx="356">
                  <c:v>45287</c:v>
                </c:pt>
                <c:pt idx="357">
                  <c:v>45288</c:v>
                </c:pt>
                <c:pt idx="358">
                  <c:v>45289</c:v>
                </c:pt>
                <c:pt idx="359">
                  <c:v>45293</c:v>
                </c:pt>
                <c:pt idx="360">
                  <c:v>45294</c:v>
                </c:pt>
                <c:pt idx="361">
                  <c:v>45295</c:v>
                </c:pt>
                <c:pt idx="362">
                  <c:v>45296</c:v>
                </c:pt>
                <c:pt idx="363">
                  <c:v>45299</c:v>
                </c:pt>
                <c:pt idx="364">
                  <c:v>45300</c:v>
                </c:pt>
                <c:pt idx="365">
                  <c:v>45301</c:v>
                </c:pt>
                <c:pt idx="366">
                  <c:v>45302</c:v>
                </c:pt>
                <c:pt idx="367">
                  <c:v>45303</c:v>
                </c:pt>
                <c:pt idx="368">
                  <c:v>45307</c:v>
                </c:pt>
                <c:pt idx="369">
                  <c:v>45308</c:v>
                </c:pt>
                <c:pt idx="370">
                  <c:v>45309</c:v>
                </c:pt>
                <c:pt idx="371">
                  <c:v>45310</c:v>
                </c:pt>
                <c:pt idx="372">
                  <c:v>45313</c:v>
                </c:pt>
                <c:pt idx="373">
                  <c:v>45314</c:v>
                </c:pt>
                <c:pt idx="374">
                  <c:v>45315</c:v>
                </c:pt>
                <c:pt idx="375">
                  <c:v>45316</c:v>
                </c:pt>
                <c:pt idx="376">
                  <c:v>45317</c:v>
                </c:pt>
                <c:pt idx="377">
                  <c:v>45320</c:v>
                </c:pt>
                <c:pt idx="378">
                  <c:v>45321</c:v>
                </c:pt>
                <c:pt idx="379">
                  <c:v>45322</c:v>
                </c:pt>
                <c:pt idx="380">
                  <c:v>45323</c:v>
                </c:pt>
                <c:pt idx="381">
                  <c:v>45324</c:v>
                </c:pt>
                <c:pt idx="382">
                  <c:v>45327</c:v>
                </c:pt>
                <c:pt idx="383">
                  <c:v>45328</c:v>
                </c:pt>
                <c:pt idx="384">
                  <c:v>45329</c:v>
                </c:pt>
                <c:pt idx="385">
                  <c:v>45330</c:v>
                </c:pt>
                <c:pt idx="386">
                  <c:v>45331</c:v>
                </c:pt>
                <c:pt idx="387">
                  <c:v>45334</c:v>
                </c:pt>
                <c:pt idx="388">
                  <c:v>45335</c:v>
                </c:pt>
                <c:pt idx="389">
                  <c:v>45336</c:v>
                </c:pt>
                <c:pt idx="390">
                  <c:v>45337</c:v>
                </c:pt>
                <c:pt idx="391">
                  <c:v>45338</c:v>
                </c:pt>
                <c:pt idx="392">
                  <c:v>45342</c:v>
                </c:pt>
                <c:pt idx="393">
                  <c:v>45343</c:v>
                </c:pt>
                <c:pt idx="394">
                  <c:v>45344</c:v>
                </c:pt>
                <c:pt idx="395">
                  <c:v>45345</c:v>
                </c:pt>
                <c:pt idx="396">
                  <c:v>45348</c:v>
                </c:pt>
                <c:pt idx="397">
                  <c:v>45349</c:v>
                </c:pt>
                <c:pt idx="398">
                  <c:v>45350</c:v>
                </c:pt>
                <c:pt idx="399">
                  <c:v>45351</c:v>
                </c:pt>
                <c:pt idx="400">
                  <c:v>45352</c:v>
                </c:pt>
                <c:pt idx="401">
                  <c:v>45355</c:v>
                </c:pt>
                <c:pt idx="402">
                  <c:v>45356</c:v>
                </c:pt>
                <c:pt idx="403">
                  <c:v>45357</c:v>
                </c:pt>
                <c:pt idx="404">
                  <c:v>45358</c:v>
                </c:pt>
                <c:pt idx="405">
                  <c:v>45359</c:v>
                </c:pt>
                <c:pt idx="406">
                  <c:v>45362</c:v>
                </c:pt>
                <c:pt idx="407">
                  <c:v>45363</c:v>
                </c:pt>
                <c:pt idx="408">
                  <c:v>45364</c:v>
                </c:pt>
                <c:pt idx="409">
                  <c:v>45365</c:v>
                </c:pt>
                <c:pt idx="410">
                  <c:v>45366</c:v>
                </c:pt>
                <c:pt idx="411">
                  <c:v>45369</c:v>
                </c:pt>
                <c:pt idx="412">
                  <c:v>45370</c:v>
                </c:pt>
                <c:pt idx="413">
                  <c:v>45371</c:v>
                </c:pt>
                <c:pt idx="414">
                  <c:v>45372</c:v>
                </c:pt>
                <c:pt idx="415">
                  <c:v>45373</c:v>
                </c:pt>
                <c:pt idx="416">
                  <c:v>45376</c:v>
                </c:pt>
                <c:pt idx="417">
                  <c:v>45377</c:v>
                </c:pt>
                <c:pt idx="418">
                  <c:v>45378</c:v>
                </c:pt>
                <c:pt idx="419">
                  <c:v>45379</c:v>
                </c:pt>
                <c:pt idx="420">
                  <c:v>45383</c:v>
                </c:pt>
                <c:pt idx="421">
                  <c:v>45384</c:v>
                </c:pt>
                <c:pt idx="422">
                  <c:v>45385</c:v>
                </c:pt>
                <c:pt idx="423">
                  <c:v>45386</c:v>
                </c:pt>
                <c:pt idx="424">
                  <c:v>45387</c:v>
                </c:pt>
                <c:pt idx="425">
                  <c:v>45390</c:v>
                </c:pt>
                <c:pt idx="426">
                  <c:v>45391</c:v>
                </c:pt>
                <c:pt idx="427">
                  <c:v>45392</c:v>
                </c:pt>
                <c:pt idx="428">
                  <c:v>45393</c:v>
                </c:pt>
                <c:pt idx="429">
                  <c:v>45394</c:v>
                </c:pt>
                <c:pt idx="430">
                  <c:v>45397</c:v>
                </c:pt>
                <c:pt idx="431">
                  <c:v>45398</c:v>
                </c:pt>
                <c:pt idx="432">
                  <c:v>45399</c:v>
                </c:pt>
                <c:pt idx="433">
                  <c:v>45400</c:v>
                </c:pt>
                <c:pt idx="434">
                  <c:v>45401</c:v>
                </c:pt>
                <c:pt idx="435">
                  <c:v>45404</c:v>
                </c:pt>
                <c:pt idx="436">
                  <c:v>45405</c:v>
                </c:pt>
                <c:pt idx="437">
                  <c:v>45406</c:v>
                </c:pt>
                <c:pt idx="438">
                  <c:v>45407</c:v>
                </c:pt>
                <c:pt idx="439">
                  <c:v>45408</c:v>
                </c:pt>
                <c:pt idx="440">
                  <c:v>45411</c:v>
                </c:pt>
                <c:pt idx="441">
                  <c:v>45412</c:v>
                </c:pt>
                <c:pt idx="442">
                  <c:v>45413</c:v>
                </c:pt>
                <c:pt idx="443">
                  <c:v>45414</c:v>
                </c:pt>
                <c:pt idx="444">
                  <c:v>45415</c:v>
                </c:pt>
                <c:pt idx="445">
                  <c:v>45418</c:v>
                </c:pt>
                <c:pt idx="446">
                  <c:v>45419</c:v>
                </c:pt>
                <c:pt idx="447">
                  <c:v>45420</c:v>
                </c:pt>
                <c:pt idx="448">
                  <c:v>45421</c:v>
                </c:pt>
                <c:pt idx="449">
                  <c:v>45422</c:v>
                </c:pt>
                <c:pt idx="450">
                  <c:v>45425</c:v>
                </c:pt>
                <c:pt idx="451">
                  <c:v>45426</c:v>
                </c:pt>
                <c:pt idx="452">
                  <c:v>45427</c:v>
                </c:pt>
                <c:pt idx="453">
                  <c:v>45428</c:v>
                </c:pt>
                <c:pt idx="454">
                  <c:v>45429</c:v>
                </c:pt>
                <c:pt idx="455">
                  <c:v>45432</c:v>
                </c:pt>
                <c:pt idx="456">
                  <c:v>45433</c:v>
                </c:pt>
                <c:pt idx="457">
                  <c:v>45434</c:v>
                </c:pt>
                <c:pt idx="458">
                  <c:v>45435</c:v>
                </c:pt>
                <c:pt idx="459">
                  <c:v>45436</c:v>
                </c:pt>
                <c:pt idx="460">
                  <c:v>45440</c:v>
                </c:pt>
                <c:pt idx="461">
                  <c:v>45441</c:v>
                </c:pt>
                <c:pt idx="462">
                  <c:v>45442</c:v>
                </c:pt>
                <c:pt idx="463">
                  <c:v>45443</c:v>
                </c:pt>
                <c:pt idx="464">
                  <c:v>45446</c:v>
                </c:pt>
                <c:pt idx="465">
                  <c:v>45447</c:v>
                </c:pt>
                <c:pt idx="466">
                  <c:v>45448</c:v>
                </c:pt>
                <c:pt idx="467">
                  <c:v>45449</c:v>
                </c:pt>
                <c:pt idx="468">
                  <c:v>45450</c:v>
                </c:pt>
                <c:pt idx="469">
                  <c:v>45453</c:v>
                </c:pt>
                <c:pt idx="470">
                  <c:v>45454</c:v>
                </c:pt>
                <c:pt idx="471">
                  <c:v>45455</c:v>
                </c:pt>
                <c:pt idx="472">
                  <c:v>45456</c:v>
                </c:pt>
                <c:pt idx="473">
                  <c:v>45457</c:v>
                </c:pt>
                <c:pt idx="474">
                  <c:v>45460</c:v>
                </c:pt>
                <c:pt idx="475">
                  <c:v>45461</c:v>
                </c:pt>
                <c:pt idx="476">
                  <c:v>45463</c:v>
                </c:pt>
                <c:pt idx="477">
                  <c:v>45464</c:v>
                </c:pt>
                <c:pt idx="478">
                  <c:v>45467</c:v>
                </c:pt>
                <c:pt idx="479">
                  <c:v>45468</c:v>
                </c:pt>
                <c:pt idx="480">
                  <c:v>45469</c:v>
                </c:pt>
                <c:pt idx="481">
                  <c:v>45470</c:v>
                </c:pt>
                <c:pt idx="482">
                  <c:v>45471</c:v>
                </c:pt>
                <c:pt idx="483">
                  <c:v>45474</c:v>
                </c:pt>
                <c:pt idx="484">
                  <c:v>45475</c:v>
                </c:pt>
                <c:pt idx="485">
                  <c:v>45476</c:v>
                </c:pt>
                <c:pt idx="486">
                  <c:v>45478</c:v>
                </c:pt>
                <c:pt idx="487">
                  <c:v>45481</c:v>
                </c:pt>
                <c:pt idx="488">
                  <c:v>45482</c:v>
                </c:pt>
                <c:pt idx="489">
                  <c:v>45483</c:v>
                </c:pt>
                <c:pt idx="490">
                  <c:v>45484</c:v>
                </c:pt>
                <c:pt idx="491">
                  <c:v>45485</c:v>
                </c:pt>
                <c:pt idx="492">
                  <c:v>45488</c:v>
                </c:pt>
                <c:pt idx="493">
                  <c:v>45489</c:v>
                </c:pt>
                <c:pt idx="494">
                  <c:v>45490</c:v>
                </c:pt>
                <c:pt idx="495">
                  <c:v>45491</c:v>
                </c:pt>
                <c:pt idx="496">
                  <c:v>45492</c:v>
                </c:pt>
                <c:pt idx="497">
                  <c:v>45495</c:v>
                </c:pt>
                <c:pt idx="498">
                  <c:v>45496</c:v>
                </c:pt>
                <c:pt idx="499">
                  <c:v>45497</c:v>
                </c:pt>
                <c:pt idx="500">
                  <c:v>45498</c:v>
                </c:pt>
                <c:pt idx="501">
                  <c:v>45499</c:v>
                </c:pt>
                <c:pt idx="502">
                  <c:v>45502</c:v>
                </c:pt>
                <c:pt idx="503">
                  <c:v>45503</c:v>
                </c:pt>
                <c:pt idx="504">
                  <c:v>45504</c:v>
                </c:pt>
                <c:pt idx="505">
                  <c:v>45505</c:v>
                </c:pt>
                <c:pt idx="506">
                  <c:v>45506</c:v>
                </c:pt>
                <c:pt idx="507">
                  <c:v>45509</c:v>
                </c:pt>
                <c:pt idx="508">
                  <c:v>45510</c:v>
                </c:pt>
                <c:pt idx="509">
                  <c:v>45511</c:v>
                </c:pt>
                <c:pt idx="510">
                  <c:v>45512</c:v>
                </c:pt>
                <c:pt idx="511">
                  <c:v>45513</c:v>
                </c:pt>
                <c:pt idx="512">
                  <c:v>45516</c:v>
                </c:pt>
                <c:pt idx="513">
                  <c:v>45517</c:v>
                </c:pt>
                <c:pt idx="514">
                  <c:v>45518</c:v>
                </c:pt>
                <c:pt idx="515">
                  <c:v>45519</c:v>
                </c:pt>
                <c:pt idx="516">
                  <c:v>45520</c:v>
                </c:pt>
                <c:pt idx="517">
                  <c:v>45523</c:v>
                </c:pt>
                <c:pt idx="518">
                  <c:v>45524</c:v>
                </c:pt>
                <c:pt idx="519">
                  <c:v>45525</c:v>
                </c:pt>
                <c:pt idx="520">
                  <c:v>45526</c:v>
                </c:pt>
                <c:pt idx="521">
                  <c:v>45527</c:v>
                </c:pt>
                <c:pt idx="522">
                  <c:v>45530</c:v>
                </c:pt>
                <c:pt idx="523">
                  <c:v>45531</c:v>
                </c:pt>
                <c:pt idx="524">
                  <c:v>45532</c:v>
                </c:pt>
                <c:pt idx="525">
                  <c:v>45533</c:v>
                </c:pt>
                <c:pt idx="526">
                  <c:v>45534</c:v>
                </c:pt>
                <c:pt idx="527">
                  <c:v>45538</c:v>
                </c:pt>
                <c:pt idx="528">
                  <c:v>45539</c:v>
                </c:pt>
                <c:pt idx="529">
                  <c:v>45540</c:v>
                </c:pt>
                <c:pt idx="530">
                  <c:v>45541</c:v>
                </c:pt>
                <c:pt idx="531">
                  <c:v>45544</c:v>
                </c:pt>
                <c:pt idx="532">
                  <c:v>45545</c:v>
                </c:pt>
                <c:pt idx="533">
                  <c:v>45546</c:v>
                </c:pt>
                <c:pt idx="534">
                  <c:v>45547</c:v>
                </c:pt>
                <c:pt idx="535">
                  <c:v>45548</c:v>
                </c:pt>
                <c:pt idx="536">
                  <c:v>45551</c:v>
                </c:pt>
                <c:pt idx="537">
                  <c:v>45552</c:v>
                </c:pt>
                <c:pt idx="538">
                  <c:v>45553</c:v>
                </c:pt>
                <c:pt idx="539">
                  <c:v>45554</c:v>
                </c:pt>
                <c:pt idx="540">
                  <c:v>45555</c:v>
                </c:pt>
                <c:pt idx="541">
                  <c:v>45558</c:v>
                </c:pt>
                <c:pt idx="542">
                  <c:v>45559</c:v>
                </c:pt>
                <c:pt idx="543">
                  <c:v>45560</c:v>
                </c:pt>
                <c:pt idx="544">
                  <c:v>45561</c:v>
                </c:pt>
                <c:pt idx="545">
                  <c:v>45562</c:v>
                </c:pt>
                <c:pt idx="546">
                  <c:v>45565</c:v>
                </c:pt>
                <c:pt idx="547">
                  <c:v>45566</c:v>
                </c:pt>
                <c:pt idx="548">
                  <c:v>45567</c:v>
                </c:pt>
                <c:pt idx="549">
                  <c:v>45568</c:v>
                </c:pt>
                <c:pt idx="550">
                  <c:v>45569</c:v>
                </c:pt>
                <c:pt idx="551">
                  <c:v>45572</c:v>
                </c:pt>
                <c:pt idx="552">
                  <c:v>45573</c:v>
                </c:pt>
                <c:pt idx="553">
                  <c:v>45574</c:v>
                </c:pt>
                <c:pt idx="554">
                  <c:v>45575</c:v>
                </c:pt>
                <c:pt idx="555">
                  <c:v>45576</c:v>
                </c:pt>
                <c:pt idx="556">
                  <c:v>45579</c:v>
                </c:pt>
                <c:pt idx="557">
                  <c:v>45580</c:v>
                </c:pt>
                <c:pt idx="558">
                  <c:v>45581</c:v>
                </c:pt>
                <c:pt idx="559">
                  <c:v>45582</c:v>
                </c:pt>
                <c:pt idx="560">
                  <c:v>45583</c:v>
                </c:pt>
                <c:pt idx="561">
                  <c:v>45586</c:v>
                </c:pt>
                <c:pt idx="562">
                  <c:v>45587</c:v>
                </c:pt>
                <c:pt idx="563">
                  <c:v>45588</c:v>
                </c:pt>
                <c:pt idx="564">
                  <c:v>45589</c:v>
                </c:pt>
                <c:pt idx="565">
                  <c:v>45590</c:v>
                </c:pt>
                <c:pt idx="566">
                  <c:v>45593</c:v>
                </c:pt>
                <c:pt idx="567">
                  <c:v>45594</c:v>
                </c:pt>
                <c:pt idx="568">
                  <c:v>45595</c:v>
                </c:pt>
                <c:pt idx="569">
                  <c:v>45596</c:v>
                </c:pt>
                <c:pt idx="570">
                  <c:v>45597</c:v>
                </c:pt>
                <c:pt idx="571">
                  <c:v>45600</c:v>
                </c:pt>
                <c:pt idx="572">
                  <c:v>45601</c:v>
                </c:pt>
                <c:pt idx="573">
                  <c:v>45602</c:v>
                </c:pt>
                <c:pt idx="574">
                  <c:v>45603</c:v>
                </c:pt>
                <c:pt idx="575">
                  <c:v>45604</c:v>
                </c:pt>
                <c:pt idx="576">
                  <c:v>45607</c:v>
                </c:pt>
                <c:pt idx="577">
                  <c:v>45608</c:v>
                </c:pt>
                <c:pt idx="578">
                  <c:v>45609</c:v>
                </c:pt>
                <c:pt idx="579">
                  <c:v>45610</c:v>
                </c:pt>
                <c:pt idx="580">
                  <c:v>45611</c:v>
                </c:pt>
                <c:pt idx="581">
                  <c:v>45614</c:v>
                </c:pt>
                <c:pt idx="582">
                  <c:v>45615</c:v>
                </c:pt>
                <c:pt idx="583">
                  <c:v>45616</c:v>
                </c:pt>
                <c:pt idx="584">
                  <c:v>45617</c:v>
                </c:pt>
                <c:pt idx="585">
                  <c:v>45618</c:v>
                </c:pt>
                <c:pt idx="586">
                  <c:v>45621</c:v>
                </c:pt>
                <c:pt idx="587">
                  <c:v>45622</c:v>
                </c:pt>
                <c:pt idx="588">
                  <c:v>45623</c:v>
                </c:pt>
                <c:pt idx="589">
                  <c:v>45625</c:v>
                </c:pt>
                <c:pt idx="590">
                  <c:v>45628</c:v>
                </c:pt>
                <c:pt idx="591">
                  <c:v>45629</c:v>
                </c:pt>
                <c:pt idx="592">
                  <c:v>45630</c:v>
                </c:pt>
                <c:pt idx="593">
                  <c:v>45631</c:v>
                </c:pt>
                <c:pt idx="594">
                  <c:v>45632</c:v>
                </c:pt>
                <c:pt idx="595">
                  <c:v>45635</c:v>
                </c:pt>
                <c:pt idx="596">
                  <c:v>45636</c:v>
                </c:pt>
                <c:pt idx="597">
                  <c:v>45637</c:v>
                </c:pt>
                <c:pt idx="598">
                  <c:v>45638</c:v>
                </c:pt>
                <c:pt idx="599">
                  <c:v>45639</c:v>
                </c:pt>
                <c:pt idx="600">
                  <c:v>45642</c:v>
                </c:pt>
                <c:pt idx="601">
                  <c:v>45643</c:v>
                </c:pt>
                <c:pt idx="602">
                  <c:v>45644</c:v>
                </c:pt>
                <c:pt idx="603">
                  <c:v>45645</c:v>
                </c:pt>
                <c:pt idx="604">
                  <c:v>45646</c:v>
                </c:pt>
                <c:pt idx="605">
                  <c:v>45649</c:v>
                </c:pt>
                <c:pt idx="606">
                  <c:v>45650</c:v>
                </c:pt>
                <c:pt idx="607">
                  <c:v>45652</c:v>
                </c:pt>
                <c:pt idx="608">
                  <c:v>45653</c:v>
                </c:pt>
                <c:pt idx="609">
                  <c:v>45656</c:v>
                </c:pt>
                <c:pt idx="610">
                  <c:v>45657</c:v>
                </c:pt>
                <c:pt idx="611">
                  <c:v>45659</c:v>
                </c:pt>
                <c:pt idx="612">
                  <c:v>45660</c:v>
                </c:pt>
                <c:pt idx="613">
                  <c:v>45663</c:v>
                </c:pt>
                <c:pt idx="614">
                  <c:v>45664</c:v>
                </c:pt>
                <c:pt idx="615">
                  <c:v>45665</c:v>
                </c:pt>
                <c:pt idx="616">
                  <c:v>45667</c:v>
                </c:pt>
                <c:pt idx="617">
                  <c:v>45670</c:v>
                </c:pt>
                <c:pt idx="618">
                  <c:v>45671</c:v>
                </c:pt>
                <c:pt idx="619">
                  <c:v>45672</c:v>
                </c:pt>
                <c:pt idx="620">
                  <c:v>45673</c:v>
                </c:pt>
                <c:pt idx="621">
                  <c:v>45674</c:v>
                </c:pt>
                <c:pt idx="622">
                  <c:v>45678</c:v>
                </c:pt>
                <c:pt idx="623">
                  <c:v>45679</c:v>
                </c:pt>
                <c:pt idx="624">
                  <c:v>45680</c:v>
                </c:pt>
                <c:pt idx="625">
                  <c:v>45681</c:v>
                </c:pt>
                <c:pt idx="626">
                  <c:v>45684</c:v>
                </c:pt>
                <c:pt idx="627">
                  <c:v>45685</c:v>
                </c:pt>
                <c:pt idx="628">
                  <c:v>45686</c:v>
                </c:pt>
                <c:pt idx="629">
                  <c:v>45687</c:v>
                </c:pt>
                <c:pt idx="630">
                  <c:v>45688</c:v>
                </c:pt>
                <c:pt idx="631">
                  <c:v>45691</c:v>
                </c:pt>
                <c:pt idx="632">
                  <c:v>45692</c:v>
                </c:pt>
                <c:pt idx="633">
                  <c:v>45693</c:v>
                </c:pt>
                <c:pt idx="634">
                  <c:v>45694</c:v>
                </c:pt>
                <c:pt idx="635">
                  <c:v>45695</c:v>
                </c:pt>
                <c:pt idx="636">
                  <c:v>45698</c:v>
                </c:pt>
                <c:pt idx="637">
                  <c:v>45699</c:v>
                </c:pt>
                <c:pt idx="638">
                  <c:v>45700</c:v>
                </c:pt>
                <c:pt idx="639">
                  <c:v>45701</c:v>
                </c:pt>
                <c:pt idx="640">
                  <c:v>45702</c:v>
                </c:pt>
                <c:pt idx="641">
                  <c:v>45706</c:v>
                </c:pt>
                <c:pt idx="642">
                  <c:v>45707</c:v>
                </c:pt>
                <c:pt idx="643">
                  <c:v>45708</c:v>
                </c:pt>
                <c:pt idx="644">
                  <c:v>45709</c:v>
                </c:pt>
                <c:pt idx="645">
                  <c:v>45712</c:v>
                </c:pt>
                <c:pt idx="646">
                  <c:v>45713</c:v>
                </c:pt>
                <c:pt idx="647">
                  <c:v>45714</c:v>
                </c:pt>
                <c:pt idx="648">
                  <c:v>45715</c:v>
                </c:pt>
                <c:pt idx="649">
                  <c:v>45716</c:v>
                </c:pt>
                <c:pt idx="650">
                  <c:v>45719</c:v>
                </c:pt>
                <c:pt idx="651">
                  <c:v>45720</c:v>
                </c:pt>
                <c:pt idx="652">
                  <c:v>45721</c:v>
                </c:pt>
                <c:pt idx="653">
                  <c:v>45722</c:v>
                </c:pt>
                <c:pt idx="654">
                  <c:v>45723</c:v>
                </c:pt>
                <c:pt idx="655">
                  <c:v>45726</c:v>
                </c:pt>
                <c:pt idx="656">
                  <c:v>45727</c:v>
                </c:pt>
                <c:pt idx="657">
                  <c:v>45728</c:v>
                </c:pt>
                <c:pt idx="658">
                  <c:v>45729</c:v>
                </c:pt>
                <c:pt idx="659">
                  <c:v>45730</c:v>
                </c:pt>
                <c:pt idx="660">
                  <c:v>45733</c:v>
                </c:pt>
                <c:pt idx="661">
                  <c:v>45734</c:v>
                </c:pt>
                <c:pt idx="662">
                  <c:v>45735</c:v>
                </c:pt>
                <c:pt idx="663">
                  <c:v>45736</c:v>
                </c:pt>
                <c:pt idx="664">
                  <c:v>45737</c:v>
                </c:pt>
                <c:pt idx="665">
                  <c:v>45740</c:v>
                </c:pt>
                <c:pt idx="666">
                  <c:v>45741</c:v>
                </c:pt>
                <c:pt idx="667">
                  <c:v>45742</c:v>
                </c:pt>
                <c:pt idx="668">
                  <c:v>45743</c:v>
                </c:pt>
                <c:pt idx="669">
                  <c:v>45744</c:v>
                </c:pt>
                <c:pt idx="670">
                  <c:v>45747</c:v>
                </c:pt>
                <c:pt idx="671">
                  <c:v>45748</c:v>
                </c:pt>
                <c:pt idx="672">
                  <c:v>45749</c:v>
                </c:pt>
                <c:pt idx="673">
                  <c:v>45750</c:v>
                </c:pt>
                <c:pt idx="674">
                  <c:v>45751</c:v>
                </c:pt>
                <c:pt idx="675">
                  <c:v>45754</c:v>
                </c:pt>
                <c:pt idx="676">
                  <c:v>45755</c:v>
                </c:pt>
                <c:pt idx="677">
                  <c:v>45756</c:v>
                </c:pt>
                <c:pt idx="678">
                  <c:v>45757</c:v>
                </c:pt>
                <c:pt idx="679">
                  <c:v>45758</c:v>
                </c:pt>
                <c:pt idx="680">
                  <c:v>45761</c:v>
                </c:pt>
                <c:pt idx="681">
                  <c:v>45762</c:v>
                </c:pt>
                <c:pt idx="682">
                  <c:v>45763</c:v>
                </c:pt>
                <c:pt idx="683">
                  <c:v>45764</c:v>
                </c:pt>
                <c:pt idx="684">
                  <c:v>45768</c:v>
                </c:pt>
                <c:pt idx="685">
                  <c:v>45769</c:v>
                </c:pt>
                <c:pt idx="686">
                  <c:v>45770</c:v>
                </c:pt>
                <c:pt idx="687">
                  <c:v>45771</c:v>
                </c:pt>
                <c:pt idx="688">
                  <c:v>45772</c:v>
                </c:pt>
                <c:pt idx="689">
                  <c:v>45775</c:v>
                </c:pt>
                <c:pt idx="690">
                  <c:v>45776</c:v>
                </c:pt>
                <c:pt idx="691">
                  <c:v>45777</c:v>
                </c:pt>
                <c:pt idx="692">
                  <c:v>45778</c:v>
                </c:pt>
                <c:pt idx="693">
                  <c:v>45779</c:v>
                </c:pt>
                <c:pt idx="694">
                  <c:v>45782</c:v>
                </c:pt>
                <c:pt idx="695">
                  <c:v>45783</c:v>
                </c:pt>
                <c:pt idx="696">
                  <c:v>45784</c:v>
                </c:pt>
                <c:pt idx="697">
                  <c:v>45785</c:v>
                </c:pt>
                <c:pt idx="698">
                  <c:v>45786</c:v>
                </c:pt>
                <c:pt idx="699">
                  <c:v>45789</c:v>
                </c:pt>
                <c:pt idx="700">
                  <c:v>45790</c:v>
                </c:pt>
                <c:pt idx="701">
                  <c:v>45791</c:v>
                </c:pt>
                <c:pt idx="702">
                  <c:v>45792</c:v>
                </c:pt>
                <c:pt idx="703">
                  <c:v>45793</c:v>
                </c:pt>
                <c:pt idx="704">
                  <c:v>45796</c:v>
                </c:pt>
                <c:pt idx="705">
                  <c:v>45797</c:v>
                </c:pt>
                <c:pt idx="706">
                  <c:v>45798</c:v>
                </c:pt>
                <c:pt idx="707">
                  <c:v>45799</c:v>
                </c:pt>
                <c:pt idx="708">
                  <c:v>45800</c:v>
                </c:pt>
                <c:pt idx="709">
                  <c:v>45804</c:v>
                </c:pt>
                <c:pt idx="710">
                  <c:v>45805</c:v>
                </c:pt>
                <c:pt idx="711">
                  <c:v>45806</c:v>
                </c:pt>
                <c:pt idx="712">
                  <c:v>45807</c:v>
                </c:pt>
                <c:pt idx="713">
                  <c:v>45810</c:v>
                </c:pt>
                <c:pt idx="714">
                  <c:v>45811</c:v>
                </c:pt>
                <c:pt idx="715">
                  <c:v>45812</c:v>
                </c:pt>
                <c:pt idx="716">
                  <c:v>45813</c:v>
                </c:pt>
                <c:pt idx="717">
                  <c:v>45814</c:v>
                </c:pt>
                <c:pt idx="718">
                  <c:v>45817</c:v>
                </c:pt>
                <c:pt idx="719">
                  <c:v>45818</c:v>
                </c:pt>
                <c:pt idx="720">
                  <c:v>45819</c:v>
                </c:pt>
                <c:pt idx="721">
                  <c:v>45820</c:v>
                </c:pt>
                <c:pt idx="722">
                  <c:v>45821</c:v>
                </c:pt>
                <c:pt idx="723">
                  <c:v>45824</c:v>
                </c:pt>
                <c:pt idx="724">
                  <c:v>45825</c:v>
                </c:pt>
                <c:pt idx="725">
                  <c:v>45826</c:v>
                </c:pt>
                <c:pt idx="726">
                  <c:v>45828</c:v>
                </c:pt>
                <c:pt idx="727">
                  <c:v>45831</c:v>
                </c:pt>
                <c:pt idx="728">
                  <c:v>45832</c:v>
                </c:pt>
                <c:pt idx="729">
                  <c:v>45833</c:v>
                </c:pt>
                <c:pt idx="730">
                  <c:v>45834</c:v>
                </c:pt>
                <c:pt idx="731">
                  <c:v>45835</c:v>
                </c:pt>
                <c:pt idx="732">
                  <c:v>45838</c:v>
                </c:pt>
                <c:pt idx="733">
                  <c:v>45839</c:v>
                </c:pt>
                <c:pt idx="734">
                  <c:v>45840</c:v>
                </c:pt>
                <c:pt idx="735">
                  <c:v>45841</c:v>
                </c:pt>
                <c:pt idx="736">
                  <c:v>45845</c:v>
                </c:pt>
                <c:pt idx="737">
                  <c:v>45846</c:v>
                </c:pt>
                <c:pt idx="738">
                  <c:v>45847</c:v>
                </c:pt>
                <c:pt idx="739">
                  <c:v>45848</c:v>
                </c:pt>
                <c:pt idx="740">
                  <c:v>45849</c:v>
                </c:pt>
                <c:pt idx="741">
                  <c:v>45852</c:v>
                </c:pt>
                <c:pt idx="742">
                  <c:v>45853</c:v>
                </c:pt>
                <c:pt idx="743">
                  <c:v>45854</c:v>
                </c:pt>
                <c:pt idx="744">
                  <c:v>45855</c:v>
                </c:pt>
                <c:pt idx="745">
                  <c:v>45856</c:v>
                </c:pt>
                <c:pt idx="746">
                  <c:v>45859</c:v>
                </c:pt>
                <c:pt idx="747">
                  <c:v>45860</c:v>
                </c:pt>
                <c:pt idx="748">
                  <c:v>45861</c:v>
                </c:pt>
                <c:pt idx="749">
                  <c:v>45862</c:v>
                </c:pt>
                <c:pt idx="750">
                  <c:v>45863</c:v>
                </c:pt>
                <c:pt idx="751">
                  <c:v>45866</c:v>
                </c:pt>
                <c:pt idx="752">
                  <c:v>45867</c:v>
                </c:pt>
                <c:pt idx="753">
                  <c:v>45868</c:v>
                </c:pt>
                <c:pt idx="754">
                  <c:v>45869</c:v>
                </c:pt>
                <c:pt idx="755">
                  <c:v>45870</c:v>
                </c:pt>
                <c:pt idx="756">
                  <c:v>45873</c:v>
                </c:pt>
                <c:pt idx="757">
                  <c:v>45874</c:v>
                </c:pt>
                <c:pt idx="758">
                  <c:v>45875</c:v>
                </c:pt>
                <c:pt idx="759">
                  <c:v>45876</c:v>
                </c:pt>
                <c:pt idx="760">
                  <c:v>45877</c:v>
                </c:pt>
                <c:pt idx="761">
                  <c:v>45880</c:v>
                </c:pt>
                <c:pt idx="762">
                  <c:v>45881</c:v>
                </c:pt>
                <c:pt idx="763">
                  <c:v>45882</c:v>
                </c:pt>
                <c:pt idx="764">
                  <c:v>45883</c:v>
                </c:pt>
                <c:pt idx="765">
                  <c:v>45884</c:v>
                </c:pt>
                <c:pt idx="766">
                  <c:v>45887</c:v>
                </c:pt>
                <c:pt idx="767">
                  <c:v>45888</c:v>
                </c:pt>
                <c:pt idx="768">
                  <c:v>45889</c:v>
                </c:pt>
                <c:pt idx="769">
                  <c:v>45890</c:v>
                </c:pt>
                <c:pt idx="770">
                  <c:v>45891</c:v>
                </c:pt>
                <c:pt idx="771">
                  <c:v>45894</c:v>
                </c:pt>
                <c:pt idx="772">
                  <c:v>45895</c:v>
                </c:pt>
                <c:pt idx="773">
                  <c:v>45896</c:v>
                </c:pt>
                <c:pt idx="774">
                  <c:v>45897</c:v>
                </c:pt>
                <c:pt idx="775">
                  <c:v>45898</c:v>
                </c:pt>
                <c:pt idx="776">
                  <c:v>45902</c:v>
                </c:pt>
                <c:pt idx="777">
                  <c:v>45903</c:v>
                </c:pt>
                <c:pt idx="778">
                  <c:v>45904</c:v>
                </c:pt>
                <c:pt idx="779">
                  <c:v>45905</c:v>
                </c:pt>
                <c:pt idx="780">
                  <c:v>45908</c:v>
                </c:pt>
                <c:pt idx="781">
                  <c:v>45909</c:v>
                </c:pt>
                <c:pt idx="782">
                  <c:v>45910</c:v>
                </c:pt>
                <c:pt idx="783">
                  <c:v>45911</c:v>
                </c:pt>
                <c:pt idx="784">
                  <c:v>45912</c:v>
                </c:pt>
                <c:pt idx="785">
                  <c:v>45915</c:v>
                </c:pt>
                <c:pt idx="786">
                  <c:v>45916</c:v>
                </c:pt>
                <c:pt idx="787">
                  <c:v>45917</c:v>
                </c:pt>
                <c:pt idx="788">
                  <c:v>45918</c:v>
                </c:pt>
                <c:pt idx="789">
                  <c:v>45919</c:v>
                </c:pt>
                <c:pt idx="790">
                  <c:v>45922</c:v>
                </c:pt>
                <c:pt idx="791">
                  <c:v>45923</c:v>
                </c:pt>
                <c:pt idx="792">
                  <c:v>45924</c:v>
                </c:pt>
                <c:pt idx="793">
                  <c:v>45925</c:v>
                </c:pt>
                <c:pt idx="794">
                  <c:v>45926</c:v>
                </c:pt>
                <c:pt idx="795">
                  <c:v>45929</c:v>
                </c:pt>
                <c:pt idx="796">
                  <c:v>45930</c:v>
                </c:pt>
                <c:pt idx="797">
                  <c:v>45931</c:v>
                </c:pt>
                <c:pt idx="798">
                  <c:v>45932</c:v>
                </c:pt>
                <c:pt idx="799">
                  <c:v>45933</c:v>
                </c:pt>
                <c:pt idx="800">
                  <c:v>45936</c:v>
                </c:pt>
                <c:pt idx="801">
                  <c:v>45937</c:v>
                </c:pt>
                <c:pt idx="802">
                  <c:v>45938</c:v>
                </c:pt>
                <c:pt idx="803">
                  <c:v>45939</c:v>
                </c:pt>
                <c:pt idx="804">
                  <c:v>45940</c:v>
                </c:pt>
                <c:pt idx="805">
                  <c:v>45943</c:v>
                </c:pt>
                <c:pt idx="806">
                  <c:v>45944</c:v>
                </c:pt>
                <c:pt idx="807">
                  <c:v>45945</c:v>
                </c:pt>
                <c:pt idx="808">
                  <c:v>45946</c:v>
                </c:pt>
                <c:pt idx="809">
                  <c:v>45947</c:v>
                </c:pt>
                <c:pt idx="810">
                  <c:v>45950</c:v>
                </c:pt>
                <c:pt idx="811">
                  <c:v>45951</c:v>
                </c:pt>
                <c:pt idx="812">
                  <c:v>45952</c:v>
                </c:pt>
                <c:pt idx="813">
                  <c:v>45953</c:v>
                </c:pt>
                <c:pt idx="814">
                  <c:v>45954</c:v>
                </c:pt>
                <c:pt idx="815">
                  <c:v>45957</c:v>
                </c:pt>
                <c:pt idx="816">
                  <c:v>45958</c:v>
                </c:pt>
                <c:pt idx="817">
                  <c:v>45959</c:v>
                </c:pt>
                <c:pt idx="818">
                  <c:v>45960</c:v>
                </c:pt>
                <c:pt idx="819">
                  <c:v>45961</c:v>
                </c:pt>
                <c:pt idx="820">
                  <c:v>45964</c:v>
                </c:pt>
                <c:pt idx="821">
                  <c:v>45965</c:v>
                </c:pt>
                <c:pt idx="822">
                  <c:v>45966</c:v>
                </c:pt>
                <c:pt idx="823">
                  <c:v>45967</c:v>
                </c:pt>
                <c:pt idx="824">
                  <c:v>45968</c:v>
                </c:pt>
                <c:pt idx="825">
                  <c:v>45971</c:v>
                </c:pt>
                <c:pt idx="826">
                  <c:v>45972</c:v>
                </c:pt>
                <c:pt idx="827">
                  <c:v>45973</c:v>
                </c:pt>
                <c:pt idx="828">
                  <c:v>45974</c:v>
                </c:pt>
                <c:pt idx="829">
                  <c:v>45975</c:v>
                </c:pt>
                <c:pt idx="830">
                  <c:v>45978</c:v>
                </c:pt>
                <c:pt idx="831">
                  <c:v>45979</c:v>
                </c:pt>
                <c:pt idx="832">
                  <c:v>45980</c:v>
                </c:pt>
                <c:pt idx="833">
                  <c:v>45981</c:v>
                </c:pt>
                <c:pt idx="834">
                  <c:v>45982</c:v>
                </c:pt>
                <c:pt idx="835">
                  <c:v>45985</c:v>
                </c:pt>
                <c:pt idx="836">
                  <c:v>45986</c:v>
                </c:pt>
                <c:pt idx="837">
                  <c:v>45987</c:v>
                </c:pt>
                <c:pt idx="838">
                  <c:v>45989</c:v>
                </c:pt>
                <c:pt idx="839">
                  <c:v>45992</c:v>
                </c:pt>
                <c:pt idx="840">
                  <c:v>45993</c:v>
                </c:pt>
                <c:pt idx="841">
                  <c:v>45994</c:v>
                </c:pt>
                <c:pt idx="842">
                  <c:v>45995</c:v>
                </c:pt>
                <c:pt idx="843">
                  <c:v>45996</c:v>
                </c:pt>
                <c:pt idx="844">
                  <c:v>45999</c:v>
                </c:pt>
                <c:pt idx="845">
                  <c:v>46000</c:v>
                </c:pt>
                <c:pt idx="846">
                  <c:v>46001</c:v>
                </c:pt>
                <c:pt idx="847">
                  <c:v>46002</c:v>
                </c:pt>
                <c:pt idx="848">
                  <c:v>46003</c:v>
                </c:pt>
                <c:pt idx="849">
                  <c:v>46006</c:v>
                </c:pt>
                <c:pt idx="850">
                  <c:v>46007</c:v>
                </c:pt>
                <c:pt idx="851">
                  <c:v>46008</c:v>
                </c:pt>
                <c:pt idx="852">
                  <c:v>46009</c:v>
                </c:pt>
                <c:pt idx="853">
                  <c:v>46010</c:v>
                </c:pt>
                <c:pt idx="854">
                  <c:v>46013</c:v>
                </c:pt>
                <c:pt idx="855">
                  <c:v>46014</c:v>
                </c:pt>
                <c:pt idx="856">
                  <c:v>46015</c:v>
                </c:pt>
                <c:pt idx="857">
                  <c:v>46017</c:v>
                </c:pt>
                <c:pt idx="858">
                  <c:v>46020</c:v>
                </c:pt>
                <c:pt idx="859">
                  <c:v>46021</c:v>
                </c:pt>
                <c:pt idx="860">
                  <c:v>46022</c:v>
                </c:pt>
                <c:pt idx="861">
                  <c:v>46024</c:v>
                </c:pt>
                <c:pt idx="862">
                  <c:v>46027</c:v>
                </c:pt>
                <c:pt idx="863">
                  <c:v>46028</c:v>
                </c:pt>
                <c:pt idx="864">
                  <c:v>46029</c:v>
                </c:pt>
                <c:pt idx="865">
                  <c:v>46030</c:v>
                </c:pt>
                <c:pt idx="866">
                  <c:v>46031</c:v>
                </c:pt>
                <c:pt idx="867">
                  <c:v>46034</c:v>
                </c:pt>
                <c:pt idx="868">
                  <c:v>46035</c:v>
                </c:pt>
                <c:pt idx="869">
                  <c:v>46036</c:v>
                </c:pt>
                <c:pt idx="870">
                  <c:v>46037</c:v>
                </c:pt>
                <c:pt idx="871">
                  <c:v>46038</c:v>
                </c:pt>
                <c:pt idx="872">
                  <c:v>46042</c:v>
                </c:pt>
                <c:pt idx="873">
                  <c:v>46043</c:v>
                </c:pt>
                <c:pt idx="874">
                  <c:v>46044</c:v>
                </c:pt>
                <c:pt idx="875">
                  <c:v>46045</c:v>
                </c:pt>
                <c:pt idx="876">
                  <c:v>46048</c:v>
                </c:pt>
                <c:pt idx="877">
                  <c:v>46049</c:v>
                </c:pt>
                <c:pt idx="878">
                  <c:v>46050</c:v>
                </c:pt>
                <c:pt idx="879">
                  <c:v>46051</c:v>
                </c:pt>
                <c:pt idx="880">
                  <c:v>46052</c:v>
                </c:pt>
                <c:pt idx="881">
                  <c:v>46055</c:v>
                </c:pt>
                <c:pt idx="882">
                  <c:v>46056</c:v>
                </c:pt>
                <c:pt idx="883">
                  <c:v>46057</c:v>
                </c:pt>
                <c:pt idx="884">
                  <c:v>46058</c:v>
                </c:pt>
                <c:pt idx="885">
                  <c:v>46059</c:v>
                </c:pt>
                <c:pt idx="886">
                  <c:v>46062</c:v>
                </c:pt>
                <c:pt idx="887">
                  <c:v>46063</c:v>
                </c:pt>
                <c:pt idx="888">
                  <c:v>46064</c:v>
                </c:pt>
                <c:pt idx="889">
                  <c:v>46065</c:v>
                </c:pt>
                <c:pt idx="890">
                  <c:v>46066</c:v>
                </c:pt>
                <c:pt idx="891">
                  <c:v>46070</c:v>
                </c:pt>
                <c:pt idx="892">
                  <c:v>46071</c:v>
                </c:pt>
                <c:pt idx="893">
                  <c:v>46072</c:v>
                </c:pt>
                <c:pt idx="894">
                  <c:v>46073</c:v>
                </c:pt>
                <c:pt idx="895">
                  <c:v>46076</c:v>
                </c:pt>
                <c:pt idx="896">
                  <c:v>46077</c:v>
                </c:pt>
                <c:pt idx="897">
                  <c:v>46078</c:v>
                </c:pt>
                <c:pt idx="898">
                  <c:v>46079</c:v>
                </c:pt>
                <c:pt idx="899">
                  <c:v>46080</c:v>
                </c:pt>
                <c:pt idx="900">
                  <c:v>46083</c:v>
                </c:pt>
                <c:pt idx="901">
                  <c:v>46084</c:v>
                </c:pt>
                <c:pt idx="902">
                  <c:v>46085</c:v>
                </c:pt>
                <c:pt idx="903">
                  <c:v>46086</c:v>
                </c:pt>
                <c:pt idx="904">
                  <c:v>46087</c:v>
                </c:pt>
                <c:pt idx="905">
                  <c:v>46090</c:v>
                </c:pt>
                <c:pt idx="906">
                  <c:v>46091</c:v>
                </c:pt>
                <c:pt idx="907">
                  <c:v>46092</c:v>
                </c:pt>
                <c:pt idx="908">
                  <c:v>46093</c:v>
                </c:pt>
                <c:pt idx="909">
                  <c:v>46094</c:v>
                </c:pt>
                <c:pt idx="910">
                  <c:v>46097</c:v>
                </c:pt>
                <c:pt idx="911">
                  <c:v>46098</c:v>
                </c:pt>
                <c:pt idx="912">
                  <c:v>46099</c:v>
                </c:pt>
                <c:pt idx="913">
                  <c:v>46100</c:v>
                </c:pt>
                <c:pt idx="914">
                  <c:v>46101</c:v>
                </c:pt>
                <c:pt idx="915">
                  <c:v>46104</c:v>
                </c:pt>
                <c:pt idx="916">
                  <c:v>46105</c:v>
                </c:pt>
                <c:pt idx="917">
                  <c:v>46106</c:v>
                </c:pt>
                <c:pt idx="918">
                  <c:v>46107</c:v>
                </c:pt>
                <c:pt idx="919">
                  <c:v>46108</c:v>
                </c:pt>
                <c:pt idx="920">
                  <c:v>46111</c:v>
                </c:pt>
                <c:pt idx="921">
                  <c:v>46112</c:v>
                </c:pt>
                <c:pt idx="922">
                  <c:v>46113</c:v>
                </c:pt>
                <c:pt idx="923">
                  <c:v>46114</c:v>
                </c:pt>
                <c:pt idx="924">
                  <c:v>46118</c:v>
                </c:pt>
                <c:pt idx="925">
                  <c:v>46119</c:v>
                </c:pt>
                <c:pt idx="926">
                  <c:v>46120</c:v>
                </c:pt>
                <c:pt idx="927">
                  <c:v>46121</c:v>
                </c:pt>
                <c:pt idx="928">
                  <c:v>46122</c:v>
                </c:pt>
                <c:pt idx="929">
                  <c:v>46125</c:v>
                </c:pt>
                <c:pt idx="930">
                  <c:v>46126</c:v>
                </c:pt>
                <c:pt idx="931">
                  <c:v>46127</c:v>
                </c:pt>
                <c:pt idx="932">
                  <c:v>46128</c:v>
                </c:pt>
                <c:pt idx="933">
                  <c:v>46129</c:v>
                </c:pt>
                <c:pt idx="934">
                  <c:v>46132</c:v>
                </c:pt>
                <c:pt idx="935">
                  <c:v>46133</c:v>
                </c:pt>
                <c:pt idx="936">
                  <c:v>46134</c:v>
                </c:pt>
                <c:pt idx="937">
                  <c:v>46135</c:v>
                </c:pt>
                <c:pt idx="938">
                  <c:v>46136</c:v>
                </c:pt>
                <c:pt idx="939">
                  <c:v>46139</c:v>
                </c:pt>
                <c:pt idx="940">
                  <c:v>46140</c:v>
                </c:pt>
                <c:pt idx="941">
                  <c:v>46141</c:v>
                </c:pt>
                <c:pt idx="942">
                  <c:v>46142</c:v>
                </c:pt>
                <c:pt idx="943">
                  <c:v>46143</c:v>
                </c:pt>
                <c:pt idx="944">
                  <c:v>46146</c:v>
                </c:pt>
                <c:pt idx="945">
                  <c:v>46147</c:v>
                </c:pt>
                <c:pt idx="946">
                  <c:v>46148</c:v>
                </c:pt>
                <c:pt idx="947">
                  <c:v>46149</c:v>
                </c:pt>
                <c:pt idx="948">
                  <c:v>46150</c:v>
                </c:pt>
                <c:pt idx="949">
                  <c:v>46153</c:v>
                </c:pt>
                <c:pt idx="950">
                  <c:v>46154</c:v>
                </c:pt>
                <c:pt idx="951">
                  <c:v>46155</c:v>
                </c:pt>
                <c:pt idx="952">
                  <c:v>46156</c:v>
                </c:pt>
                <c:pt idx="953">
                  <c:v>46157</c:v>
                </c:pt>
                <c:pt idx="954">
                  <c:v>46160</c:v>
                </c:pt>
                <c:pt idx="955">
                  <c:v>46161</c:v>
                </c:pt>
                <c:pt idx="956">
                  <c:v>46162</c:v>
                </c:pt>
                <c:pt idx="957">
                  <c:v>46163</c:v>
                </c:pt>
                <c:pt idx="958">
                  <c:v>46164</c:v>
                </c:pt>
                <c:pt idx="959">
                  <c:v>46168</c:v>
                </c:pt>
                <c:pt idx="960">
                  <c:v>46169</c:v>
                </c:pt>
                <c:pt idx="961">
                  <c:v>46170</c:v>
                </c:pt>
                <c:pt idx="962">
                  <c:v>46171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46181</c:v>
                </c:pt>
                <c:pt idx="969">
                  <c:v>46182</c:v>
                </c:pt>
                <c:pt idx="970">
                  <c:v>46183</c:v>
                </c:pt>
                <c:pt idx="971">
                  <c:v>46184</c:v>
                </c:pt>
                <c:pt idx="972">
                  <c:v>46185</c:v>
                </c:pt>
                <c:pt idx="973">
                  <c:v>46188</c:v>
                </c:pt>
                <c:pt idx="974">
                  <c:v>46189</c:v>
                </c:pt>
                <c:pt idx="975">
                  <c:v>46190</c:v>
                </c:pt>
                <c:pt idx="976">
                  <c:v>46191</c:v>
                </c:pt>
                <c:pt idx="977">
                  <c:v>46195</c:v>
                </c:pt>
                <c:pt idx="978">
                  <c:v>46196</c:v>
                </c:pt>
                <c:pt idx="979">
                  <c:v>46197</c:v>
                </c:pt>
                <c:pt idx="980">
                  <c:v>46198</c:v>
                </c:pt>
                <c:pt idx="981">
                  <c:v>46199</c:v>
                </c:pt>
                <c:pt idx="982">
                  <c:v>46202</c:v>
                </c:pt>
                <c:pt idx="983">
                  <c:v>46203</c:v>
                </c:pt>
                <c:pt idx="984">
                  <c:v>46204</c:v>
                </c:pt>
                <c:pt idx="985">
                  <c:v>46205</c:v>
                </c:pt>
                <c:pt idx="986">
                  <c:v>46209</c:v>
                </c:pt>
                <c:pt idx="987">
                  <c:v>46210</c:v>
                </c:pt>
                <c:pt idx="988">
                  <c:v>46211</c:v>
                </c:pt>
                <c:pt idx="989">
                  <c:v>46212</c:v>
                </c:pt>
                <c:pt idx="990">
                  <c:v>46213</c:v>
                </c:pt>
                <c:pt idx="991">
                  <c:v>46216</c:v>
                </c:pt>
                <c:pt idx="992">
                  <c:v>46217</c:v>
                </c:pt>
                <c:pt idx="993">
                  <c:v>46218</c:v>
                </c:pt>
                <c:pt idx="994">
                  <c:v>46219</c:v>
                </c:pt>
                <c:pt idx="995">
                  <c:v>46220</c:v>
                </c:pt>
                <c:pt idx="996">
                  <c:v>46223</c:v>
                </c:pt>
                <c:pt idx="997">
                  <c:v>46224</c:v>
                </c:pt>
                <c:pt idx="998">
                  <c:v>46225</c:v>
                </c:pt>
                <c:pt idx="999">
                  <c:v>46226</c:v>
                </c:pt>
                <c:pt idx="1000">
                  <c:v>46227</c:v>
                </c:pt>
                <c:pt idx="1001">
                  <c:v>46230</c:v>
                </c:pt>
                <c:pt idx="1002">
                  <c:v>46231</c:v>
                </c:pt>
                <c:pt idx="1003">
                  <c:v>46232</c:v>
                </c:pt>
                <c:pt idx="1004">
                  <c:v>46233</c:v>
                </c:pt>
              </c:numCache>
            </c:numRef>
          </c:cat>
          <c:val>
            <c:numRef>
              <c:f>Chart!$B$2:$B$1006</c:f>
              <c:numCache>
                <c:formatCode>General</c:formatCode>
                <c:ptCount val="1005"/>
                <c:pt idx="0">
                  <c:v>3.5556285107927526E-3</c:v>
                </c:pt>
                <c:pt idx="1">
                  <c:v>3.227237655501039E-2</c:v>
                </c:pt>
                <c:pt idx="2">
                  <c:v>-6.177324652630327E-3</c:v>
                </c:pt>
                <c:pt idx="3">
                  <c:v>-9.3381304467622939E-3</c:v>
                </c:pt>
                <c:pt idx="4">
                  <c:v>3.7546165753915214E-2</c:v>
                </c:pt>
                <c:pt idx="5">
                  <c:v>-1.934242518376613E-3</c:v>
                </c:pt>
                <c:pt idx="6">
                  <c:v>-1.396205868836488E-3</c:v>
                </c:pt>
                <c:pt idx="7">
                  <c:v>-2.9032069678331463E-3</c:v>
                </c:pt>
                <c:pt idx="8">
                  <c:v>3.0859625979358802E-4</c:v>
                </c:pt>
                <c:pt idx="9">
                  <c:v>2.585253407561583E-2</c:v>
                </c:pt>
                <c:pt idx="10">
                  <c:v>-4.4357463117963699E-3</c:v>
                </c:pt>
                <c:pt idx="11">
                  <c:v>2.1198363869552501E-2</c:v>
                </c:pt>
                <c:pt idx="12">
                  <c:v>6.307532745953204E-3</c:v>
                </c:pt>
                <c:pt idx="13">
                  <c:v>-9.171292148824889E-4</c:v>
                </c:pt>
                <c:pt idx="14">
                  <c:v>8.748921205567927E-3</c:v>
                </c:pt>
                <c:pt idx="15">
                  <c:v>-2.2998580023165997E-3</c:v>
                </c:pt>
                <c:pt idx="16">
                  <c:v>-1.5215867148396834E-2</c:v>
                </c:pt>
                <c:pt idx="17">
                  <c:v>-2.3309427559767344E-2</c:v>
                </c:pt>
                <c:pt idx="18">
                  <c:v>-2.0245075599038403E-3</c:v>
                </c:pt>
                <c:pt idx="19">
                  <c:v>1.7876148620763013E-3</c:v>
                </c:pt>
                <c:pt idx="20">
                  <c:v>1.4821696674365063E-2</c:v>
                </c:pt>
                <c:pt idx="21">
                  <c:v>-3.8431894048230199E-2</c:v>
                </c:pt>
                <c:pt idx="22">
                  <c:v>-1.3784856019980567E-2</c:v>
                </c:pt>
                <c:pt idx="23">
                  <c:v>-1.5423882167586127E-2</c:v>
                </c:pt>
                <c:pt idx="24">
                  <c:v>-1.0694669337676479E-2</c:v>
                </c:pt>
                <c:pt idx="25">
                  <c:v>4.7014539668797321E-3</c:v>
                </c:pt>
                <c:pt idx="26">
                  <c:v>-1.3700799442064308E-2</c:v>
                </c:pt>
                <c:pt idx="27">
                  <c:v>-8.2640762059067452E-3</c:v>
                </c:pt>
                <c:pt idx="28">
                  <c:v>9.2237848415390438E-3</c:v>
                </c:pt>
                <c:pt idx="29">
                  <c:v>-9.6717308847066776E-3</c:v>
                </c:pt>
                <c:pt idx="30">
                  <c:v>1.8662482444094745E-2</c:v>
                </c:pt>
                <c:pt idx="31">
                  <c:v>3.7788470732576351E-2</c:v>
                </c:pt>
                <c:pt idx="32">
                  <c:v>-6.0478291667337286E-2</c:v>
                </c:pt>
                <c:pt idx="33">
                  <c:v>9.5074523453218835E-3</c:v>
                </c:pt>
                <c:pt idx="34">
                  <c:v>-1.9099485394285867E-2</c:v>
                </c:pt>
                <c:pt idx="35">
                  <c:v>-1.1027943269295541E-2</c:v>
                </c:pt>
                <c:pt idx="36">
                  <c:v>2.4779084475739007E-2</c:v>
                </c:pt>
                <c:pt idx="37">
                  <c:v>1.5531957311928205E-2</c:v>
                </c:pt>
                <c:pt idx="38">
                  <c:v>-2.0465379462622391E-2</c:v>
                </c:pt>
                <c:pt idx="39">
                  <c:v>-6.3894161393511549E-3</c:v>
                </c:pt>
                <c:pt idx="40">
                  <c:v>-1.5233952332039204E-2</c:v>
                </c:pt>
                <c:pt idx="41">
                  <c:v>2.2435776890082177E-3</c:v>
                </c:pt>
                <c:pt idx="42">
                  <c:v>6.5397528374842688E-3</c:v>
                </c:pt>
                <c:pt idx="43">
                  <c:v>-1.2728536665858381E-2</c:v>
                </c:pt>
                <c:pt idx="44">
                  <c:v>-5.0353567268012857E-2</c:v>
                </c:pt>
                <c:pt idx="45">
                  <c:v>-3.0510755205021937E-2</c:v>
                </c:pt>
                <c:pt idx="46">
                  <c:v>3.0296446528272153E-2</c:v>
                </c:pt>
                <c:pt idx="47">
                  <c:v>2.5304054942657139E-2</c:v>
                </c:pt>
                <c:pt idx="48">
                  <c:v>2.0319694123983956E-3</c:v>
                </c:pt>
                <c:pt idx="49">
                  <c:v>-6.6260512769034125E-3</c:v>
                </c:pt>
                <c:pt idx="50">
                  <c:v>-3.741659064644446E-2</c:v>
                </c:pt>
                <c:pt idx="51">
                  <c:v>2.3437652452393018E-3</c:v>
                </c:pt>
                <c:pt idx="52">
                  <c:v>-1.0315828807599483E-2</c:v>
                </c:pt>
                <c:pt idx="53">
                  <c:v>-4.6020287540783737E-3</c:v>
                </c:pt>
                <c:pt idx="54">
                  <c:v>3.3060084725976893E-2</c:v>
                </c:pt>
                <c:pt idx="55">
                  <c:v>-3.2773215606205774E-2</c:v>
                </c:pt>
                <c:pt idx="56">
                  <c:v>2.8708024400027496E-2</c:v>
                </c:pt>
                <c:pt idx="57">
                  <c:v>9.3607534738788974E-3</c:v>
                </c:pt>
                <c:pt idx="58">
                  <c:v>7.7848002176403547E-4</c:v>
                </c:pt>
                <c:pt idx="59">
                  <c:v>-3.27369645780569E-3</c:v>
                </c:pt>
                <c:pt idx="60">
                  <c:v>2.6689352685167513E-2</c:v>
                </c:pt>
                <c:pt idx="61">
                  <c:v>1.4707660661085292E-2</c:v>
                </c:pt>
                <c:pt idx="62">
                  <c:v>1.9141599355667924E-2</c:v>
                </c:pt>
                <c:pt idx="63">
                  <c:v>-1.980917431234043E-2</c:v>
                </c:pt>
                <c:pt idx="64">
                  <c:v>-3.0933297544769606E-2</c:v>
                </c:pt>
                <c:pt idx="65">
                  <c:v>7.2830005152674876E-2</c:v>
                </c:pt>
                <c:pt idx="66">
                  <c:v>-1.5541965789747902E-2</c:v>
                </c:pt>
                <c:pt idx="67">
                  <c:v>-1.7690569753910611E-2</c:v>
                </c:pt>
                <c:pt idx="68">
                  <c:v>-3.8024358246842645E-2</c:v>
                </c:pt>
                <c:pt idx="69">
                  <c:v>-4.3330899223027734E-2</c:v>
                </c:pt>
                <c:pt idx="70">
                  <c:v>-1.9438205483075885E-3</c:v>
                </c:pt>
                <c:pt idx="71">
                  <c:v>3.8838699874656733E-3</c:v>
                </c:pt>
                <c:pt idx="72">
                  <c:v>4.1602255430538094E-3</c:v>
                </c:pt>
                <c:pt idx="73">
                  <c:v>-3.3754134853849073E-2</c:v>
                </c:pt>
                <c:pt idx="74">
                  <c:v>8.5253894593550983E-2</c:v>
                </c:pt>
                <c:pt idx="75">
                  <c:v>1.9076257666413115E-2</c:v>
                </c:pt>
                <c:pt idx="76">
                  <c:v>-9.5269016402691458E-3</c:v>
                </c:pt>
                <c:pt idx="77">
                  <c:v>1.1798019768824908E-2</c:v>
                </c:pt>
                <c:pt idx="78">
                  <c:v>-8.3778098542633649E-3</c:v>
                </c:pt>
                <c:pt idx="79">
                  <c:v>1.2891148056376568E-2</c:v>
                </c:pt>
                <c:pt idx="80">
                  <c:v>3.7881509287559746E-3</c:v>
                </c:pt>
                <c:pt idx="81">
                  <c:v>-2.1930703493970118E-2</c:v>
                </c:pt>
                <c:pt idx="82">
                  <c:v>1.4570046900019756E-2</c:v>
                </c:pt>
                <c:pt idx="83">
                  <c:v>5.9157201717658266E-3</c:v>
                </c:pt>
                <c:pt idx="84">
                  <c:v>-1.9799533574504466E-2</c:v>
                </c:pt>
                <c:pt idx="85">
                  <c:v>-2.6625048675860519E-2</c:v>
                </c:pt>
                <c:pt idx="86">
                  <c:v>-2.1376185974409684E-2</c:v>
                </c:pt>
                <c:pt idx="87">
                  <c:v>4.745228553092893E-2</c:v>
                </c:pt>
                <c:pt idx="88">
                  <c:v>1.8926022751314228E-3</c:v>
                </c:pt>
                <c:pt idx="89">
                  <c:v>-3.3693979661507511E-3</c:v>
                </c:pt>
                <c:pt idx="90">
                  <c:v>-8.0195326861581141E-3</c:v>
                </c:pt>
                <c:pt idx="91">
                  <c:v>-2.5695256204261996E-2</c:v>
                </c:pt>
                <c:pt idx="92">
                  <c:v>-1.3895824038042678E-2</c:v>
                </c:pt>
                <c:pt idx="93">
                  <c:v>1.2066986974349022E-2</c:v>
                </c:pt>
                <c:pt idx="94">
                  <c:v>-3.439003938732671E-3</c:v>
                </c:pt>
                <c:pt idx="95">
                  <c:v>1.6269627676909676E-2</c:v>
                </c:pt>
                <c:pt idx="96">
                  <c:v>6.7418190490181953E-3</c:v>
                </c:pt>
                <c:pt idx="97">
                  <c:v>-1.5655566442683601E-2</c:v>
                </c:pt>
                <c:pt idx="98">
                  <c:v>-4.7994448227809634E-2</c:v>
                </c:pt>
                <c:pt idx="99">
                  <c:v>-1.4666669638435624E-2</c:v>
                </c:pt>
                <c:pt idx="100">
                  <c:v>-1.6043348800443589E-2</c:v>
                </c:pt>
                <c:pt idx="101">
                  <c:v>-5.297647277567024E-4</c:v>
                </c:pt>
                <c:pt idx="102">
                  <c:v>2.3543356500285134E-2</c:v>
                </c:pt>
                <c:pt idx="103">
                  <c:v>-2.408108591244482E-2</c:v>
                </c:pt>
                <c:pt idx="104">
                  <c:v>-2.7931581980861842E-3</c:v>
                </c:pt>
                <c:pt idx="105">
                  <c:v>-1.3974629668408184E-2</c:v>
                </c:pt>
                <c:pt idx="106">
                  <c:v>-3.1165602776479704E-2</c:v>
                </c:pt>
                <c:pt idx="107">
                  <c:v>2.7925428071686093E-2</c:v>
                </c:pt>
                <c:pt idx="108">
                  <c:v>2.4741247490177899E-3</c:v>
                </c:pt>
                <c:pt idx="109">
                  <c:v>-3.8119661728740914E-2</c:v>
                </c:pt>
                <c:pt idx="110">
                  <c:v>1.0248127773391963E-2</c:v>
                </c:pt>
                <c:pt idx="111">
                  <c:v>-1.0646267086782547E-2</c:v>
                </c:pt>
                <c:pt idx="112">
                  <c:v>3.6122065243447618E-2</c:v>
                </c:pt>
                <c:pt idx="113">
                  <c:v>4.0833944172063577E-3</c:v>
                </c:pt>
                <c:pt idx="114">
                  <c:v>4.4554606271663523E-3</c:v>
                </c:pt>
                <c:pt idx="115">
                  <c:v>2.0888889597930383E-2</c:v>
                </c:pt>
                <c:pt idx="116">
                  <c:v>-5.9385589319956803E-4</c:v>
                </c:pt>
                <c:pt idx="117">
                  <c:v>1.005543842528513E-2</c:v>
                </c:pt>
                <c:pt idx="118">
                  <c:v>8.722862220763546E-3</c:v>
                </c:pt>
                <c:pt idx="119">
                  <c:v>-5.3808697233060894E-3</c:v>
                </c:pt>
                <c:pt idx="120">
                  <c:v>4.4325409327114474E-4</c:v>
                </c:pt>
                <c:pt idx="121">
                  <c:v>1.9038558020131661E-2</c:v>
                </c:pt>
                <c:pt idx="122">
                  <c:v>2.3207731168740618E-2</c:v>
                </c:pt>
                <c:pt idx="123">
                  <c:v>1.0015845299679521E-2</c:v>
                </c:pt>
                <c:pt idx="124">
                  <c:v>-4.708850104370341E-3</c:v>
                </c:pt>
                <c:pt idx="125">
                  <c:v>1.4703010612075608E-2</c:v>
                </c:pt>
                <c:pt idx="126">
                  <c:v>1.3606128931388892E-2</c:v>
                </c:pt>
                <c:pt idx="127">
                  <c:v>-2.0290948748974896E-2</c:v>
                </c:pt>
                <c:pt idx="128">
                  <c:v>8.9759653699093833E-3</c:v>
                </c:pt>
                <c:pt idx="129">
                  <c:v>7.8556652362781112E-3</c:v>
                </c:pt>
                <c:pt idx="130">
                  <c:v>3.6399831498127935E-2</c:v>
                </c:pt>
                <c:pt idx="131">
                  <c:v>2.4107656689046367E-2</c:v>
                </c:pt>
                <c:pt idx="132">
                  <c:v>-1.8082955399810974E-2</c:v>
                </c:pt>
                <c:pt idx="133">
                  <c:v>1.9062345561279729E-2</c:v>
                </c:pt>
                <c:pt idx="134">
                  <c:v>-1.7817607096756304E-2</c:v>
                </c:pt>
                <c:pt idx="135">
                  <c:v>-6.9326577697587342E-3</c:v>
                </c:pt>
                <c:pt idx="136">
                  <c:v>2.4617963358496272E-3</c:v>
                </c:pt>
                <c:pt idx="137">
                  <c:v>1.8628932550718354E-2</c:v>
                </c:pt>
                <c:pt idx="138">
                  <c:v>-4.2423064556176863E-3</c:v>
                </c:pt>
                <c:pt idx="139">
                  <c:v>1.381690702516071E-2</c:v>
                </c:pt>
                <c:pt idx="140">
                  <c:v>-1.0491580931914594E-2</c:v>
                </c:pt>
                <c:pt idx="141">
                  <c:v>-7.5790561744557925E-3</c:v>
                </c:pt>
                <c:pt idx="142">
                  <c:v>-2.7043066115024016E-2</c:v>
                </c:pt>
                <c:pt idx="143">
                  <c:v>2.8996107549841927E-3</c:v>
                </c:pt>
                <c:pt idx="144">
                  <c:v>3.2783569576341465E-3</c:v>
                </c:pt>
                <c:pt idx="145">
                  <c:v>-1.8165436587942119E-2</c:v>
                </c:pt>
                <c:pt idx="146">
                  <c:v>8.2225072800470641E-3</c:v>
                </c:pt>
                <c:pt idx="147">
                  <c:v>-3.4625645180425446E-3</c:v>
                </c:pt>
                <c:pt idx="148">
                  <c:v>-1.4348343476182327E-2</c:v>
                </c:pt>
                <c:pt idx="149">
                  <c:v>4.1106446790815125E-3</c:v>
                </c:pt>
                <c:pt idx="150">
                  <c:v>3.45097449261072E-2</c:v>
                </c:pt>
                <c:pt idx="151">
                  <c:v>1.8369289598666443E-2</c:v>
                </c:pt>
                <c:pt idx="152">
                  <c:v>-1.4608109747118821E-2</c:v>
                </c:pt>
                <c:pt idx="153">
                  <c:v>8.3366302836139061E-3</c:v>
                </c:pt>
                <c:pt idx="154">
                  <c:v>-1.5030738369565314E-2</c:v>
                </c:pt>
                <c:pt idx="155">
                  <c:v>-1.3974950825676983E-2</c:v>
                </c:pt>
                <c:pt idx="156">
                  <c:v>1.3172953202161717E-2</c:v>
                </c:pt>
                <c:pt idx="157">
                  <c:v>1.39994453215919E-2</c:v>
                </c:pt>
                <c:pt idx="158">
                  <c:v>2.622695441613844E-3</c:v>
                </c:pt>
                <c:pt idx="159">
                  <c:v>1.851381592706117E-2</c:v>
                </c:pt>
                <c:pt idx="160">
                  <c:v>-5.4698090096878633E-3</c:v>
                </c:pt>
                <c:pt idx="161">
                  <c:v>1.5367032064066288E-2</c:v>
                </c:pt>
                <c:pt idx="162">
                  <c:v>1.1872370412766469E-2</c:v>
                </c:pt>
                <c:pt idx="163">
                  <c:v>-9.1497215196752503E-3</c:v>
                </c:pt>
                <c:pt idx="164">
                  <c:v>6.9435382130867522E-3</c:v>
                </c:pt>
                <c:pt idx="165">
                  <c:v>8.2830291031992624E-3</c:v>
                </c:pt>
                <c:pt idx="166">
                  <c:v>-1.2370293611400442E-2</c:v>
                </c:pt>
                <c:pt idx="167">
                  <c:v>-3.9882012537598649E-3</c:v>
                </c:pt>
                <c:pt idx="168">
                  <c:v>1.9594539100357841E-2</c:v>
                </c:pt>
                <c:pt idx="169">
                  <c:v>9.8394904006382563E-3</c:v>
                </c:pt>
                <c:pt idx="170">
                  <c:v>1.5531006226753064E-2</c:v>
                </c:pt>
                <c:pt idx="171">
                  <c:v>7.666817598775506E-3</c:v>
                </c:pt>
                <c:pt idx="172">
                  <c:v>-3.2532086833434973E-3</c:v>
                </c:pt>
                <c:pt idx="173">
                  <c:v>-1.1364983653362307E-2</c:v>
                </c:pt>
                <c:pt idx="174">
                  <c:v>5.4922619519308068E-3</c:v>
                </c:pt>
                <c:pt idx="175">
                  <c:v>-1.6104687793434918E-2</c:v>
                </c:pt>
                <c:pt idx="176">
                  <c:v>-7.6174084627643442E-3</c:v>
                </c:pt>
                <c:pt idx="177">
                  <c:v>-4.3690418104662641E-3</c:v>
                </c:pt>
                <c:pt idx="178">
                  <c:v>3.3535017024282937E-2</c:v>
                </c:pt>
                <c:pt idx="179">
                  <c:v>-2.1101324821827523E-3</c:v>
                </c:pt>
                <c:pt idx="180">
                  <c:v>1.1666426187776603E-4</c:v>
                </c:pt>
                <c:pt idx="181">
                  <c:v>7.4810036842293329E-3</c:v>
                </c:pt>
                <c:pt idx="182">
                  <c:v>6.9353627838648632E-3</c:v>
                </c:pt>
                <c:pt idx="183">
                  <c:v>-5.857287500454971E-3</c:v>
                </c:pt>
                <c:pt idx="184">
                  <c:v>-9.8308396057293843E-3</c:v>
                </c:pt>
                <c:pt idx="185">
                  <c:v>1.8855588405181087E-3</c:v>
                </c:pt>
                <c:pt idx="186">
                  <c:v>-9.4945226184593948E-3</c:v>
                </c:pt>
                <c:pt idx="187">
                  <c:v>-6.1948273211765302E-5</c:v>
                </c:pt>
                <c:pt idx="188">
                  <c:v>2.8008244488632095E-2</c:v>
                </c:pt>
                <c:pt idx="189">
                  <c:v>7.5076644194690305E-3</c:v>
                </c:pt>
                <c:pt idx="190">
                  <c:v>-5.2029604223735029E-4</c:v>
                </c:pt>
                <c:pt idx="191">
                  <c:v>-6.2166043795148325E-3</c:v>
                </c:pt>
                <c:pt idx="192">
                  <c:v>-6.4917450974560295E-3</c:v>
                </c:pt>
                <c:pt idx="193">
                  <c:v>-9.954995890888392E-3</c:v>
                </c:pt>
                <c:pt idx="194">
                  <c:v>4.5853647302210587E-2</c:v>
                </c:pt>
                <c:pt idx="195">
                  <c:v>-4.0337549836223893E-4</c:v>
                </c:pt>
                <c:pt idx="196">
                  <c:v>-1.0007693539645143E-2</c:v>
                </c:pt>
                <c:pt idx="197">
                  <c:v>1.0323392552492379E-2</c:v>
                </c:pt>
                <c:pt idx="198">
                  <c:v>1.1275176821434558E-3</c:v>
                </c:pt>
                <c:pt idx="199">
                  <c:v>-5.4272390256269081E-3</c:v>
                </c:pt>
                <c:pt idx="200">
                  <c:v>-2.9101490603451381E-3</c:v>
                </c:pt>
                <c:pt idx="201">
                  <c:v>0</c:v>
                </c:pt>
                <c:pt idx="202">
                  <c:v>3.5967667909067797E-3</c:v>
                </c:pt>
                <c:pt idx="203">
                  <c:v>1.3582185727025884E-2</c:v>
                </c:pt>
                <c:pt idx="204">
                  <c:v>6.2484091732330357E-4</c:v>
                </c:pt>
                <c:pt idx="205">
                  <c:v>-5.4980883640785407E-3</c:v>
                </c:pt>
                <c:pt idx="206">
                  <c:v>-1.5259777615912675E-2</c:v>
                </c:pt>
                <c:pt idx="207">
                  <c:v>1.6107861226253614E-3</c:v>
                </c:pt>
                <c:pt idx="208">
                  <c:v>6.6750352140520315E-3</c:v>
                </c:pt>
                <c:pt idx="209">
                  <c:v>1.3997791919588993E-2</c:v>
                </c:pt>
                <c:pt idx="210">
                  <c:v>1.061554262943693E-2</c:v>
                </c:pt>
                <c:pt idx="211">
                  <c:v>-2.8573877955353908E-4</c:v>
                </c:pt>
                <c:pt idx="212">
                  <c:v>1.5899451519860715E-2</c:v>
                </c:pt>
                <c:pt idx="213">
                  <c:v>4.7646262589453384E-3</c:v>
                </c:pt>
                <c:pt idx="214">
                  <c:v>-7.6038728370664919E-3</c:v>
                </c:pt>
                <c:pt idx="215">
                  <c:v>-2.0668981872182589E-3</c:v>
                </c:pt>
                <c:pt idx="216">
                  <c:v>-7.7805946729013285E-3</c:v>
                </c:pt>
                <c:pt idx="217">
                  <c:v>1.5338426385263816E-2</c:v>
                </c:pt>
                <c:pt idx="218">
                  <c:v>2.1689247109449254E-3</c:v>
                </c:pt>
                <c:pt idx="219">
                  <c:v>1.5515297111644472E-2</c:v>
                </c:pt>
                <c:pt idx="220">
                  <c:v>-2.6161987336145581E-3</c:v>
                </c:pt>
                <c:pt idx="221">
                  <c:v>3.4812387749941971E-3</c:v>
                </c:pt>
                <c:pt idx="222">
                  <c:v>1.1139827121889672E-2</c:v>
                </c:pt>
                <c:pt idx="223">
                  <c:v>-5.8775822100979947E-3</c:v>
                </c:pt>
                <c:pt idx="224">
                  <c:v>4.8746957703745041E-4</c:v>
                </c:pt>
                <c:pt idx="225">
                  <c:v>-5.6946417377109811E-3</c:v>
                </c:pt>
                <c:pt idx="226">
                  <c:v>1.6391794972379234E-2</c:v>
                </c:pt>
                <c:pt idx="227">
                  <c:v>-1.7079979101592949E-3</c:v>
                </c:pt>
                <c:pt idx="228">
                  <c:v>-7.577382658985974E-3</c:v>
                </c:pt>
                <c:pt idx="229">
                  <c:v>1.4941568413185681E-2</c:v>
                </c:pt>
                <c:pt idx="230">
                  <c:v>6.3044597649096635E-3</c:v>
                </c:pt>
                <c:pt idx="231">
                  <c:v>1.7917078159542799E-3</c:v>
                </c:pt>
                <c:pt idx="232">
                  <c:v>2.28375786169389E-2</c:v>
                </c:pt>
                <c:pt idx="233">
                  <c:v>-7.8126216652871124E-3</c:v>
                </c:pt>
                <c:pt idx="234">
                  <c:v>-5.8812519059732969E-3</c:v>
                </c:pt>
                <c:pt idx="235">
                  <c:v>2.5013828812781211E-3</c:v>
                </c:pt>
                <c:pt idx="236">
                  <c:v>-5.9065352661329075E-3</c:v>
                </c:pt>
                <c:pt idx="237">
                  <c:v>-1.0919203550488562E-2</c:v>
                </c:pt>
                <c:pt idx="238">
                  <c:v>-2.8077818695848088E-3</c:v>
                </c:pt>
                <c:pt idx="239">
                  <c:v>8.9498172268235796E-3</c:v>
                </c:pt>
                <c:pt idx="240">
                  <c:v>4.0490199164732767E-3</c:v>
                </c:pt>
                <c:pt idx="241">
                  <c:v>7.8127702900715554E-4</c:v>
                </c:pt>
                <c:pt idx="242">
                  <c:v>1.7150350573384068E-2</c:v>
                </c:pt>
                <c:pt idx="243">
                  <c:v>-1.3378277974552065E-3</c:v>
                </c:pt>
                <c:pt idx="244">
                  <c:v>7.055640409117543E-3</c:v>
                </c:pt>
                <c:pt idx="245">
                  <c:v>-1.015623944372428E-2</c:v>
                </c:pt>
                <c:pt idx="246">
                  <c:v>-6.1774064097061473E-3</c:v>
                </c:pt>
                <c:pt idx="247">
                  <c:v>4.2136151375820339E-3</c:v>
                </c:pt>
                <c:pt idx="248">
                  <c:v>4.5099215886223957E-3</c:v>
                </c:pt>
                <c:pt idx="249">
                  <c:v>4.5261347559334133E-3</c:v>
                </c:pt>
                <c:pt idx="250">
                  <c:v>-6.6107564555313953E-3</c:v>
                </c:pt>
                <c:pt idx="251">
                  <c:v>1.3426445887602242E-2</c:v>
                </c:pt>
                <c:pt idx="252">
                  <c:v>3.1610453630423439E-3</c:v>
                </c:pt>
                <c:pt idx="253">
                  <c:v>-4.3205317991003855E-3</c:v>
                </c:pt>
                <c:pt idx="254">
                  <c:v>-1.557564697905937E-2</c:v>
                </c:pt>
                <c:pt idx="255">
                  <c:v>-7.3549737170241387E-3</c:v>
                </c:pt>
                <c:pt idx="256">
                  <c:v>-4.9198037481527727E-2</c:v>
                </c:pt>
                <c:pt idx="257">
                  <c:v>-1.7407270878278685E-2</c:v>
                </c:pt>
                <c:pt idx="258">
                  <c:v>5.293513557150342E-3</c:v>
                </c:pt>
                <c:pt idx="259">
                  <c:v>-8.9935433153156066E-3</c:v>
                </c:pt>
                <c:pt idx="260">
                  <c:v>-1.2344943128423441E-3</c:v>
                </c:pt>
                <c:pt idx="261">
                  <c:v>3.3579679487313711E-4</c:v>
                </c:pt>
                <c:pt idx="262">
                  <c:v>9.3511823745013184E-3</c:v>
                </c:pt>
                <c:pt idx="263">
                  <c:v>-1.1265025852673267E-2</c:v>
                </c:pt>
                <c:pt idx="264">
                  <c:v>-4.9725754039263792E-3</c:v>
                </c:pt>
                <c:pt idx="265">
                  <c:v>-1.4660734148289901E-2</c:v>
                </c:pt>
                <c:pt idx="266">
                  <c:v>2.8102464685086483E-3</c:v>
                </c:pt>
                <c:pt idx="267">
                  <c:v>7.699210068259155E-3</c:v>
                </c:pt>
                <c:pt idx="268">
                  <c:v>7.8858795964223179E-3</c:v>
                </c:pt>
                <c:pt idx="269">
                  <c:v>2.1694931601427582E-2</c:v>
                </c:pt>
                <c:pt idx="270">
                  <c:v>-2.650158776180607E-2</c:v>
                </c:pt>
                <c:pt idx="271">
                  <c:v>1.2562864724237054E-2</c:v>
                </c:pt>
                <c:pt idx="272">
                  <c:v>8.7976114736062466E-3</c:v>
                </c:pt>
                <c:pt idx="273">
                  <c:v>2.1584330958285044E-2</c:v>
                </c:pt>
                <c:pt idx="274">
                  <c:v>1.8979351238474357E-2</c:v>
                </c:pt>
                <c:pt idx="275">
                  <c:v>1.18544077249394E-3</c:v>
                </c:pt>
                <c:pt idx="276">
                  <c:v>8.4245231618532406E-3</c:v>
                </c:pt>
                <c:pt idx="277">
                  <c:v>1.2701125063096746E-3</c:v>
                </c:pt>
                <c:pt idx="278">
                  <c:v>-3.6464041822323476E-2</c:v>
                </c:pt>
                <c:pt idx="279">
                  <c:v>-2.9679999917009679E-2</c:v>
                </c:pt>
                <c:pt idx="280">
                  <c:v>3.4867320653055641E-3</c:v>
                </c:pt>
                <c:pt idx="281">
                  <c:v>6.5988162415110563E-3</c:v>
                </c:pt>
                <c:pt idx="282">
                  <c:v>-1.7198986848644491E-2</c:v>
                </c:pt>
                <c:pt idx="283">
                  <c:v>-1.1926757474209342E-2</c:v>
                </c:pt>
                <c:pt idx="284">
                  <c:v>8.7367604305944868E-3</c:v>
                </c:pt>
                <c:pt idx="285">
                  <c:v>-4.1651583496522789E-3</c:v>
                </c:pt>
                <c:pt idx="286">
                  <c:v>1.677358825407561E-2</c:v>
                </c:pt>
                <c:pt idx="287">
                  <c:v>6.1603524913653269E-3</c:v>
                </c:pt>
                <c:pt idx="288">
                  <c:v>-2.0185988433164506E-2</c:v>
                </c:pt>
                <c:pt idx="289">
                  <c:v>-8.9295097261570724E-3</c:v>
                </c:pt>
                <c:pt idx="290">
                  <c:v>4.932092323115124E-3</c:v>
                </c:pt>
                <c:pt idx="291">
                  <c:v>7.3413342793566799E-3</c:v>
                </c:pt>
                <c:pt idx="292">
                  <c:v>-2.3669227992752586E-2</c:v>
                </c:pt>
                <c:pt idx="293">
                  <c:v>-8.9355959414275446E-3</c:v>
                </c:pt>
                <c:pt idx="294">
                  <c:v>1.5126038350098204E-3</c:v>
                </c:pt>
                <c:pt idx="295">
                  <c:v>3.059726183381344E-3</c:v>
                </c:pt>
                <c:pt idx="296">
                  <c:v>1.4711495837166204E-2</c:v>
                </c:pt>
                <c:pt idx="297">
                  <c:v>-7.7921940777465207E-3</c:v>
                </c:pt>
                <c:pt idx="298">
                  <c:v>7.2738224519354909E-3</c:v>
                </c:pt>
                <c:pt idx="299">
                  <c:v>7.1808070413599016E-3</c:v>
                </c:pt>
                <c:pt idx="300">
                  <c:v>1.4642054431070495E-2</c:v>
                </c:pt>
                <c:pt idx="301">
                  <c:v>8.4064874412924755E-3</c:v>
                </c:pt>
                <c:pt idx="302">
                  <c:v>-3.3461795070649004E-3</c:v>
                </c:pt>
                <c:pt idx="303">
                  <c:v>7.869185706438693E-3</c:v>
                </c:pt>
                <c:pt idx="304">
                  <c:v>5.0514512439797056E-3</c:v>
                </c:pt>
                <c:pt idx="305">
                  <c:v>-1.0354797439749886E-2</c:v>
                </c:pt>
                <c:pt idx="306">
                  <c:v>-7.0735567942641433E-4</c:v>
                </c:pt>
                <c:pt idx="307">
                  <c:v>-8.8301673106510707E-3</c:v>
                </c:pt>
                <c:pt idx="308">
                  <c:v>-7.4348080082821668E-3</c:v>
                </c:pt>
                <c:pt idx="309">
                  <c:v>-2.1541925791569248E-3</c:v>
                </c:pt>
                <c:pt idx="310">
                  <c:v>-1.4818528227842846E-2</c:v>
                </c:pt>
                <c:pt idx="311">
                  <c:v>6.9616497825851227E-4</c:v>
                </c:pt>
                <c:pt idx="312">
                  <c:v>2.5465221045792631E-3</c:v>
                </c:pt>
                <c:pt idx="313">
                  <c:v>-1.3584077377546041E-2</c:v>
                </c:pt>
                <c:pt idx="314">
                  <c:v>-2.4911713099392666E-2</c:v>
                </c:pt>
                <c:pt idx="315">
                  <c:v>7.9280913044271831E-3</c:v>
                </c:pt>
                <c:pt idx="316">
                  <c:v>1.2242001118788509E-2</c:v>
                </c:pt>
                <c:pt idx="317">
                  <c:v>2.8002747378234089E-3</c:v>
                </c:pt>
                <c:pt idx="318">
                  <c:v>1.8571551471043647E-2</c:v>
                </c:pt>
                <c:pt idx="319">
                  <c:v>2.0480299560720939E-2</c:v>
                </c:pt>
                <c:pt idx="320">
                  <c:v>-5.1925615861171601E-3</c:v>
                </c:pt>
                <c:pt idx="321">
                  <c:v>1.4498858140721927E-2</c:v>
                </c:pt>
                <c:pt idx="322">
                  <c:v>1.435841631904175E-2</c:v>
                </c:pt>
                <c:pt idx="323">
                  <c:v>5.8476778764705306E-3</c:v>
                </c:pt>
                <c:pt idx="324">
                  <c:v>-2.6144674624205516E-3</c:v>
                </c:pt>
                <c:pt idx="325">
                  <c:v>2.2940860221248104E-2</c:v>
                </c:pt>
                <c:pt idx="326">
                  <c:v>-8.6123423487704884E-3</c:v>
                </c:pt>
                <c:pt idx="327">
                  <c:v>1.4180014585314461E-2</c:v>
                </c:pt>
                <c:pt idx="328">
                  <c:v>3.0356224264781037E-3</c:v>
                </c:pt>
                <c:pt idx="329">
                  <c:v>9.0040331719536248E-3</c:v>
                </c:pt>
                <c:pt idx="330">
                  <c:v>-1.0652520130015489E-4</c:v>
                </c:pt>
                <c:pt idx="331">
                  <c:v>9.2413328242945576E-3</c:v>
                </c:pt>
                <c:pt idx="332">
                  <c:v>-4.2468747803447379E-3</c:v>
                </c:pt>
                <c:pt idx="333">
                  <c:v>3.5130266645234205E-3</c:v>
                </c:pt>
                <c:pt idx="334">
                  <c:v>-7.0278008140171435E-3</c:v>
                </c:pt>
                <c:pt idx="335">
                  <c:v>-9.5249505012891505E-4</c:v>
                </c:pt>
                <c:pt idx="336">
                  <c:v>3.2103780097893332E-3</c:v>
                </c:pt>
                <c:pt idx="337">
                  <c:v>-5.4168373260108068E-3</c:v>
                </c:pt>
                <c:pt idx="338">
                  <c:v>3.0525753484476345E-3</c:v>
                </c:pt>
                <c:pt idx="339">
                  <c:v>6.7644120418764086E-3</c:v>
                </c:pt>
                <c:pt idx="340">
                  <c:v>-9.4969088616595233E-3</c:v>
                </c:pt>
                <c:pt idx="341">
                  <c:v>2.0833921940297994E-2</c:v>
                </c:pt>
                <c:pt idx="342">
                  <c:v>-5.6997225870368262E-3</c:v>
                </c:pt>
                <c:pt idx="343">
                  <c:v>1.0078127400822284E-2</c:v>
                </c:pt>
                <c:pt idx="344">
                  <c:v>7.3944099243002312E-3</c:v>
                </c:pt>
                <c:pt idx="345">
                  <c:v>-1.3011625742643281E-2</c:v>
                </c:pt>
                <c:pt idx="346">
                  <c:v>7.8926596802789736E-3</c:v>
                </c:pt>
                <c:pt idx="347">
                  <c:v>1.6550653886872747E-2</c:v>
                </c:pt>
                <c:pt idx="348">
                  <c:v>7.6020605754475827E-4</c:v>
                </c:pt>
                <c:pt idx="349">
                  <c:v>-2.7322909751873233E-3</c:v>
                </c:pt>
                <c:pt idx="350">
                  <c:v>-8.5359106525821488E-3</c:v>
                </c:pt>
                <c:pt idx="351">
                  <c:v>5.3447591565553461E-3</c:v>
                </c:pt>
                <c:pt idx="352">
                  <c:v>-1.0775282659932529E-2</c:v>
                </c:pt>
                <c:pt idx="353">
                  <c:v>-7.626321033064262E-4</c:v>
                </c:pt>
                <c:pt idx="354">
                  <c:v>-5.5739444683247938E-3</c:v>
                </c:pt>
                <c:pt idx="355">
                  <c:v>-2.837919197406359E-3</c:v>
                </c:pt>
                <c:pt idx="356">
                  <c:v>5.232424406198423E-4</c:v>
                </c:pt>
                <c:pt idx="357">
                  <c:v>2.2102920782747604E-3</c:v>
                </c:pt>
                <c:pt idx="358">
                  <c:v>-5.4325773426718918E-3</c:v>
                </c:pt>
                <c:pt idx="359">
                  <c:v>-3.6447143886399039E-2</c:v>
                </c:pt>
                <c:pt idx="360">
                  <c:v>-7.5119109162278888E-3</c:v>
                </c:pt>
                <c:pt idx="361">
                  <c:v>-1.2787326381840002E-2</c:v>
                </c:pt>
                <c:pt idx="362">
                  <c:v>-4.0183048091433932E-3</c:v>
                </c:pt>
                <c:pt idx="363">
                  <c:v>2.3887473207901081E-2</c:v>
                </c:pt>
                <c:pt idx="364">
                  <c:v>-2.2568081752830454E-3</c:v>
                </c:pt>
                <c:pt idx="365">
                  <c:v>5.648779421202379E-3</c:v>
                </c:pt>
                <c:pt idx="366">
                  <c:v>-3.2340763654686981E-3</c:v>
                </c:pt>
                <c:pt idx="367">
                  <c:v>1.7786775574502372E-3</c:v>
                </c:pt>
                <c:pt idx="368">
                  <c:v>-1.2391135986019031E-2</c:v>
                </c:pt>
                <c:pt idx="369">
                  <c:v>-5.1911200224524388E-3</c:v>
                </c:pt>
                <c:pt idx="370">
                  <c:v>3.2052508333004645E-2</c:v>
                </c:pt>
                <c:pt idx="371">
                  <c:v>1.5419633090596916E-2</c:v>
                </c:pt>
                <c:pt idx="372">
                  <c:v>1.2089649409360607E-2</c:v>
                </c:pt>
                <c:pt idx="373">
                  <c:v>6.6273907102706682E-3</c:v>
                </c:pt>
                <c:pt idx="374">
                  <c:v>-3.4900067316255222E-3</c:v>
                </c:pt>
                <c:pt idx="375">
                  <c:v>-1.7001457277531864E-3</c:v>
                </c:pt>
                <c:pt idx="376">
                  <c:v>-9.0483217335341655E-3</c:v>
                </c:pt>
                <c:pt idx="377">
                  <c:v>-3.598110141738249E-3</c:v>
                </c:pt>
                <c:pt idx="378">
                  <c:v>-1.9438545561868813E-2</c:v>
                </c:pt>
                <c:pt idx="379">
                  <c:v>-1.9544419319342261E-2</c:v>
                </c:pt>
                <c:pt idx="380">
                  <c:v>1.3264836905890311E-2</c:v>
                </c:pt>
                <c:pt idx="381">
                  <c:v>-5.4163941343204607E-3</c:v>
                </c:pt>
                <c:pt idx="382">
                  <c:v>9.7973966848926893E-3</c:v>
                </c:pt>
                <c:pt idx="383">
                  <c:v>8.5927622005932212E-3</c:v>
                </c:pt>
                <c:pt idx="384">
                  <c:v>5.8161407544795186E-4</c:v>
                </c:pt>
                <c:pt idx="385">
                  <c:v>-5.7777653186847234E-3</c:v>
                </c:pt>
                <c:pt idx="386">
                  <c:v>4.0799992345767321E-3</c:v>
                </c:pt>
                <c:pt idx="387">
                  <c:v>-9.0390515815156475E-3</c:v>
                </c:pt>
                <c:pt idx="388">
                  <c:v>-1.1344039749408922E-2</c:v>
                </c:pt>
                <c:pt idx="389">
                  <c:v>-4.8215521250357732E-3</c:v>
                </c:pt>
                <c:pt idx="390">
                  <c:v>-1.568455722017445E-3</c:v>
                </c:pt>
                <c:pt idx="391">
                  <c:v>-8.4659389861920752E-3</c:v>
                </c:pt>
                <c:pt idx="392">
                  <c:v>-4.1321570664242446E-3</c:v>
                </c:pt>
                <c:pt idx="393">
                  <c:v>4.1875062923794346E-3</c:v>
                </c:pt>
                <c:pt idx="394">
                  <c:v>1.1178404872453848E-2</c:v>
                </c:pt>
                <c:pt idx="395">
                  <c:v>-1.0088649295777418E-2</c:v>
                </c:pt>
                <c:pt idx="396">
                  <c:v>-7.4695130864550823E-3</c:v>
                </c:pt>
                <c:pt idx="397">
                  <c:v>8.0774897588791333E-3</c:v>
                </c:pt>
                <c:pt idx="398">
                  <c:v>-6.6414116744294253E-3</c:v>
                </c:pt>
                <c:pt idx="399">
                  <c:v>-3.7168859992643766E-3</c:v>
                </c:pt>
                <c:pt idx="400">
                  <c:v>-6.0365623815362372E-3</c:v>
                </c:pt>
                <c:pt idx="401">
                  <c:v>-2.5703851646588609E-2</c:v>
                </c:pt>
                <c:pt idx="402">
                  <c:v>-2.8858387154481715E-2</c:v>
                </c:pt>
                <c:pt idx="403">
                  <c:v>-5.8956506791723049E-3</c:v>
                </c:pt>
                <c:pt idx="404">
                  <c:v>-7.1029725045249764E-4</c:v>
                </c:pt>
                <c:pt idx="405">
                  <c:v>1.0188196851085277E-2</c:v>
                </c:pt>
                <c:pt idx="406">
                  <c:v>1.1763320753199687E-2</c:v>
                </c:pt>
                <c:pt idx="407">
                  <c:v>2.7591534716963455E-3</c:v>
                </c:pt>
                <c:pt idx="408">
                  <c:v>-1.2196452442711475E-2</c:v>
                </c:pt>
                <c:pt idx="409">
                  <c:v>1.0879075115092928E-2</c:v>
                </c:pt>
                <c:pt idx="410">
                  <c:v>-2.2014414604017134E-3</c:v>
                </c:pt>
                <c:pt idx="411">
                  <c:v>6.3575153600637421E-3</c:v>
                </c:pt>
                <c:pt idx="412">
                  <c:v>1.3489470254365216E-2</c:v>
                </c:pt>
                <c:pt idx="413">
                  <c:v>1.4598467193748934E-2</c:v>
                </c:pt>
                <c:pt idx="414">
                  <c:v>-4.171475586761339E-2</c:v>
                </c:pt>
                <c:pt idx="415">
                  <c:v>5.2914682016682807E-3</c:v>
                </c:pt>
                <c:pt idx="416">
                  <c:v>-8.3227207070124144E-3</c:v>
                </c:pt>
                <c:pt idx="417">
                  <c:v>-6.696519735388538E-3</c:v>
                </c:pt>
                <c:pt idx="418">
                  <c:v>2.0981806761287199E-2</c:v>
                </c:pt>
                <c:pt idx="419">
                  <c:v>-1.0612399447608153E-2</c:v>
                </c:pt>
                <c:pt idx="420">
                  <c:v>-8.4862962388131125E-3</c:v>
                </c:pt>
                <c:pt idx="421">
                  <c:v>-7.0277287818747416E-3</c:v>
                </c:pt>
                <c:pt idx="422">
                  <c:v>4.7877934391726776E-3</c:v>
                </c:pt>
                <c:pt idx="423">
                  <c:v>-4.9073341638513988E-3</c:v>
                </c:pt>
                <c:pt idx="424">
                  <c:v>4.4908781980501564E-3</c:v>
                </c:pt>
                <c:pt idx="425">
                  <c:v>-6.6810007868064007E-3</c:v>
                </c:pt>
                <c:pt idx="426">
                  <c:v>7.2164123228423537E-3</c:v>
                </c:pt>
                <c:pt idx="427">
                  <c:v>-1.1208050200513048E-2</c:v>
                </c:pt>
                <c:pt idx="428">
                  <c:v>4.2369639718944738E-2</c:v>
                </c:pt>
                <c:pt idx="429">
                  <c:v>8.5816742195162221E-3</c:v>
                </c:pt>
                <c:pt idx="430">
                  <c:v>-2.2099197477052367E-2</c:v>
                </c:pt>
                <c:pt idx="431">
                  <c:v>-1.9358393212334794E-2</c:v>
                </c:pt>
                <c:pt idx="432">
                  <c:v>-8.1834300488346605E-3</c:v>
                </c:pt>
                <c:pt idx="433">
                  <c:v>-5.7286379960609455E-3</c:v>
                </c:pt>
                <c:pt idx="434">
                  <c:v>-1.2706265010141604E-2</c:v>
                </c:pt>
                <c:pt idx="435">
                  <c:v>5.5035710687648979E-3</c:v>
                </c:pt>
                <c:pt idx="436">
                  <c:v>6.3626294668889293E-3</c:v>
                </c:pt>
                <c:pt idx="437">
                  <c:v>1.2628964146632355E-2</c:v>
                </c:pt>
                <c:pt idx="438">
                  <c:v>5.1391338486456708E-3</c:v>
                </c:pt>
                <c:pt idx="439">
                  <c:v>-3.4867289855196543E-3</c:v>
                </c:pt>
                <c:pt idx="440">
                  <c:v>2.4504623165785992E-2</c:v>
                </c:pt>
                <c:pt idx="441">
                  <c:v>-1.8443386304198991E-2</c:v>
                </c:pt>
                <c:pt idx="442">
                  <c:v>-6.0612368615869773E-3</c:v>
                </c:pt>
                <c:pt idx="443">
                  <c:v>2.1796448944673814E-2</c:v>
                </c:pt>
                <c:pt idx="444">
                  <c:v>5.8091733984994127E-2</c:v>
                </c:pt>
                <c:pt idx="445">
                  <c:v>-9.148840613858341E-3</c:v>
                </c:pt>
                <c:pt idx="446">
                  <c:v>3.7857732459444125E-3</c:v>
                </c:pt>
                <c:pt idx="447">
                  <c:v>1.8681986165737547E-3</c:v>
                </c:pt>
                <c:pt idx="448">
                  <c:v>9.9671702457125224E-3</c:v>
                </c:pt>
                <c:pt idx="449">
                  <c:v>-6.9236321016978488E-3</c:v>
                </c:pt>
                <c:pt idx="450">
                  <c:v>1.7506777339127325E-2</c:v>
                </c:pt>
                <c:pt idx="451">
                  <c:v>6.1481571279683386E-3</c:v>
                </c:pt>
                <c:pt idx="452">
                  <c:v>1.2141571069134906E-2</c:v>
                </c:pt>
                <c:pt idx="453">
                  <c:v>6.3719974119174651E-4</c:v>
                </c:pt>
                <c:pt idx="454">
                  <c:v>1.5392903901731333E-4</c:v>
                </c:pt>
                <c:pt idx="455">
                  <c:v>6.1430877310777619E-3</c:v>
                </c:pt>
                <c:pt idx="456">
                  <c:v>6.8340748783476245E-3</c:v>
                </c:pt>
                <c:pt idx="457">
                  <c:v>-7.567566728050347E-3</c:v>
                </c:pt>
                <c:pt idx="458">
                  <c:v>-2.1287615639243078E-2</c:v>
                </c:pt>
                <c:pt idx="459">
                  <c:v>1.6456368826212514E-2</c:v>
                </c:pt>
                <c:pt idx="460">
                  <c:v>5.3042800248127412E-5</c:v>
                </c:pt>
                <c:pt idx="461">
                  <c:v>1.5740898573225362E-3</c:v>
                </c:pt>
                <c:pt idx="462">
                  <c:v>5.2396792264588479E-3</c:v>
                </c:pt>
                <c:pt idx="463">
                  <c:v>5.0079585477543938E-3</c:v>
                </c:pt>
                <c:pt idx="464">
                  <c:v>9.219636677315738E-3</c:v>
                </c:pt>
                <c:pt idx="465">
                  <c:v>1.6502338981146632E-3</c:v>
                </c:pt>
                <c:pt idx="466">
                  <c:v>7.7836276502854769E-3</c:v>
                </c:pt>
                <c:pt idx="467">
                  <c:v>-7.1149688046479934E-3</c:v>
                </c:pt>
                <c:pt idx="468">
                  <c:v>1.2308132904060234E-2</c:v>
                </c:pt>
                <c:pt idx="469">
                  <c:v>-1.9327967984267811E-2</c:v>
                </c:pt>
                <c:pt idx="470">
                  <c:v>7.0139515870202188E-2</c:v>
                </c:pt>
                <c:pt idx="471">
                  <c:v>2.8174660624698995E-2</c:v>
                </c:pt>
                <c:pt idx="472">
                  <c:v>5.4665950662201365E-3</c:v>
                </c:pt>
                <c:pt idx="473">
                  <c:v>-8.1992836325845211E-3</c:v>
                </c:pt>
                <c:pt idx="474">
                  <c:v>1.9485573083345569E-2</c:v>
                </c:pt>
                <c:pt idx="475">
                  <c:v>-1.1051128129011325E-2</c:v>
                </c:pt>
                <c:pt idx="476">
                  <c:v>-2.1749547062237726E-2</c:v>
                </c:pt>
                <c:pt idx="477">
                  <c:v>-1.0498517798591686E-2</c:v>
                </c:pt>
                <c:pt idx="478">
                  <c:v>3.1325794213428819E-3</c:v>
                </c:pt>
                <c:pt idx="479">
                  <c:v>4.4540275755394227E-3</c:v>
                </c:pt>
                <c:pt idx="480">
                  <c:v>1.9796484025176087E-2</c:v>
                </c:pt>
                <c:pt idx="481">
                  <c:v>3.9757733313472128E-3</c:v>
                </c:pt>
                <c:pt idx="482">
                  <c:v>-1.6391086804288989E-2</c:v>
                </c:pt>
                <c:pt idx="483">
                  <c:v>2.8689477538096881E-2</c:v>
                </c:pt>
                <c:pt idx="484">
                  <c:v>1.610963140357877E-2</c:v>
                </c:pt>
                <c:pt idx="485">
                  <c:v>5.8025653881280557E-3</c:v>
                </c:pt>
                <c:pt idx="486">
                  <c:v>2.1393355957940171E-2</c:v>
                </c:pt>
                <c:pt idx="487">
                  <c:v>6.5146810211936723E-3</c:v>
                </c:pt>
                <c:pt idx="488">
                  <c:v>3.770440539343924E-3</c:v>
                </c:pt>
                <c:pt idx="489">
                  <c:v>1.8628886377964407E-2</c:v>
                </c:pt>
                <c:pt idx="490">
                  <c:v>-2.3496924704841625E-2</c:v>
                </c:pt>
                <c:pt idx="491">
                  <c:v>1.2961197209272312E-2</c:v>
                </c:pt>
                <c:pt idx="492">
                  <c:v>1.6607407273769602E-2</c:v>
                </c:pt>
                <c:pt idx="493">
                  <c:v>1.7954560039986395E-3</c:v>
                </c:pt>
                <c:pt idx="494">
                  <c:v>-2.5628274351616114E-2</c:v>
                </c:pt>
                <c:pt idx="495">
                  <c:v>-2.0748905990210932E-2</c:v>
                </c:pt>
                <c:pt idx="496">
                  <c:v>5.842066639886195E-4</c:v>
                </c:pt>
                <c:pt idx="497">
                  <c:v>-1.5646429916826377E-3</c:v>
                </c:pt>
                <c:pt idx="498">
                  <c:v>4.6731679149631423E-3</c:v>
                </c:pt>
                <c:pt idx="499">
                  <c:v>-2.9169728792721394E-2</c:v>
                </c:pt>
                <c:pt idx="500">
                  <c:v>-4.8118238837874302E-3</c:v>
                </c:pt>
                <c:pt idx="501">
                  <c:v>2.1568590435501827E-3</c:v>
                </c:pt>
                <c:pt idx="502">
                  <c:v>1.2798804111910798E-3</c:v>
                </c:pt>
                <c:pt idx="503">
                  <c:v>2.5594627574243062E-3</c:v>
                </c:pt>
                <c:pt idx="504">
                  <c:v>1.4880444631475358E-2</c:v>
                </c:pt>
                <c:pt idx="505">
                  <c:v>-1.6885954691525533E-2</c:v>
                </c:pt>
                <c:pt idx="506">
                  <c:v>6.8436400277155501E-3</c:v>
                </c:pt>
                <c:pt idx="507">
                  <c:v>-4.9362121649269883E-2</c:v>
                </c:pt>
                <c:pt idx="508">
                  <c:v>-9.7991372176506036E-3</c:v>
                </c:pt>
                <c:pt idx="509">
                  <c:v>1.2415315724982034E-2</c:v>
                </c:pt>
                <c:pt idx="510">
                  <c:v>1.6500248124506577E-2</c:v>
                </c:pt>
                <c:pt idx="511">
                  <c:v>1.3644658427515935E-2</c:v>
                </c:pt>
                <c:pt idx="512">
                  <c:v>7.1002478506271031E-3</c:v>
                </c:pt>
                <c:pt idx="513">
                  <c:v>1.7048787012909614E-2</c:v>
                </c:pt>
                <c:pt idx="514">
                  <c:v>2.0313618240875909E-3</c:v>
                </c:pt>
                <c:pt idx="515">
                  <c:v>1.3433492131177534E-2</c:v>
                </c:pt>
                <c:pt idx="516">
                  <c:v>5.9130016776397449E-3</c:v>
                </c:pt>
                <c:pt idx="517">
                  <c:v>-7.1270760624995641E-4</c:v>
                </c:pt>
                <c:pt idx="518">
                  <c:v>2.7411419595209752E-3</c:v>
                </c:pt>
                <c:pt idx="519">
                  <c:v>-4.8449290321113034E-4</c:v>
                </c:pt>
                <c:pt idx="520">
                  <c:v>-8.2949126020532785E-3</c:v>
                </c:pt>
                <c:pt idx="521">
                  <c:v>1.0235914759360702E-2</c:v>
                </c:pt>
                <c:pt idx="522">
                  <c:v>1.4942681865286209E-3</c:v>
                </c:pt>
                <c:pt idx="523">
                  <c:v>3.7325522396613941E-3</c:v>
                </c:pt>
                <c:pt idx="524">
                  <c:v>-6.772209878725316E-3</c:v>
                </c:pt>
                <c:pt idx="525">
                  <c:v>1.445863604298585E-2</c:v>
                </c:pt>
                <c:pt idx="526">
                  <c:v>-3.4401539870976749E-3</c:v>
                </c:pt>
                <c:pt idx="527">
                  <c:v>-2.7580671682800657E-2</c:v>
                </c:pt>
                <c:pt idx="528">
                  <c:v>-8.6539765226046061E-3</c:v>
                </c:pt>
                <c:pt idx="529">
                  <c:v>6.9038149660743398E-3</c:v>
                </c:pt>
                <c:pt idx="530">
                  <c:v>-7.0405552600054967E-3</c:v>
                </c:pt>
                <c:pt idx="531">
                  <c:v>4.0560833830555014E-4</c:v>
                </c:pt>
                <c:pt idx="532">
                  <c:v>-3.6289727392569636E-3</c:v>
                </c:pt>
                <c:pt idx="533">
                  <c:v>1.1516930783088066E-2</c:v>
                </c:pt>
                <c:pt idx="534">
                  <c:v>4.9715043439930279E-4</c:v>
                </c:pt>
                <c:pt idx="535">
                  <c:v>-1.2116719841065307E-3</c:v>
                </c:pt>
                <c:pt idx="536">
                  <c:v>-2.8169842931960055E-2</c:v>
                </c:pt>
                <c:pt idx="537">
                  <c:v>2.1706652754910605E-3</c:v>
                </c:pt>
                <c:pt idx="538">
                  <c:v>1.7831936404198622E-2</c:v>
                </c:pt>
                <c:pt idx="539">
                  <c:v>3.638800558599399E-2</c:v>
                </c:pt>
                <c:pt idx="540">
                  <c:v>-2.9245582258346668E-3</c:v>
                </c:pt>
                <c:pt idx="541">
                  <c:v>-7.6112325957009112E-3</c:v>
                </c:pt>
                <c:pt idx="542">
                  <c:v>3.9700282138527571E-3</c:v>
                </c:pt>
                <c:pt idx="543">
                  <c:v>-4.4101406941445091E-3</c:v>
                </c:pt>
                <c:pt idx="544">
                  <c:v>5.0651210017683603E-3</c:v>
                </c:pt>
                <c:pt idx="545">
                  <c:v>1.1849547522367828E-3</c:v>
                </c:pt>
                <c:pt idx="546">
                  <c:v>2.2614347378194344E-2</c:v>
                </c:pt>
                <c:pt idx="547">
                  <c:v>-2.957612577730272E-2</c:v>
                </c:pt>
                <c:pt idx="548">
                  <c:v>2.5198165468428729E-3</c:v>
                </c:pt>
                <c:pt idx="549">
                  <c:v>-4.9121781724980702E-3</c:v>
                </c:pt>
                <c:pt idx="550">
                  <c:v>5.0009447608125347E-3</c:v>
                </c:pt>
                <c:pt idx="551">
                  <c:v>-2.2790131781119136E-2</c:v>
                </c:pt>
                <c:pt idx="552">
                  <c:v>1.8235125862726066E-2</c:v>
                </c:pt>
                <c:pt idx="553">
                  <c:v>1.6567599555466314E-2</c:v>
                </c:pt>
                <c:pt idx="554">
                  <c:v>-2.1861866350544462E-3</c:v>
                </c:pt>
                <c:pt idx="555">
                  <c:v>-6.5254524887824747E-3</c:v>
                </c:pt>
                <c:pt idx="556">
                  <c:v>1.6347631617095664E-2</c:v>
                </c:pt>
                <c:pt idx="557">
                  <c:v>1.0962748962218617E-2</c:v>
                </c:pt>
                <c:pt idx="558">
                  <c:v>-8.8891011434580232E-3</c:v>
                </c:pt>
                <c:pt idx="559">
                  <c:v>1.5925263127538251E-3</c:v>
                </c:pt>
                <c:pt idx="560">
                  <c:v>1.2204365209776748E-2</c:v>
                </c:pt>
                <c:pt idx="561">
                  <c:v>6.2766535984041527E-3</c:v>
                </c:pt>
                <c:pt idx="562">
                  <c:v>-2.6211552771956558E-3</c:v>
                </c:pt>
                <c:pt idx="563">
                  <c:v>-2.1870040617902594E-2</c:v>
                </c:pt>
                <c:pt idx="564">
                  <c:v>-8.1166002012239026E-4</c:v>
                </c:pt>
                <c:pt idx="565">
                  <c:v>3.6342442956246485E-3</c:v>
                </c:pt>
                <c:pt idx="566">
                  <c:v>8.5539645439194935E-3</c:v>
                </c:pt>
                <c:pt idx="567">
                  <c:v>1.1637380575552228E-3</c:v>
                </c:pt>
                <c:pt idx="568">
                  <c:v>-1.5401481662367043E-2</c:v>
                </c:pt>
                <c:pt idx="569">
                  <c:v>-1.8374413827188362E-2</c:v>
                </c:pt>
                <c:pt idx="570">
                  <c:v>-1.3371180014396666E-2</c:v>
                </c:pt>
                <c:pt idx="571">
                  <c:v>-4.045107955529214E-3</c:v>
                </c:pt>
                <c:pt idx="572">
                  <c:v>6.4670445679923215E-3</c:v>
                </c:pt>
                <c:pt idx="573">
                  <c:v>-3.2757475294137974E-3</c:v>
                </c:pt>
                <c:pt idx="574">
                  <c:v>2.1151702343094405E-2</c:v>
                </c:pt>
                <c:pt idx="575">
                  <c:v>-1.1909955074121746E-3</c:v>
                </c:pt>
                <c:pt idx="576">
                  <c:v>-1.2100722821682128E-2</c:v>
                </c:pt>
                <c:pt idx="577">
                  <c:v>0</c:v>
                </c:pt>
                <c:pt idx="578">
                  <c:v>3.9605430046603766E-3</c:v>
                </c:pt>
                <c:pt idx="579">
                  <c:v>1.3675783196816373E-2</c:v>
                </c:pt>
                <c:pt idx="580">
                  <c:v>-1.4202950177993395E-2</c:v>
                </c:pt>
                <c:pt idx="581">
                  <c:v>1.3330245929658105E-2</c:v>
                </c:pt>
                <c:pt idx="582">
                  <c:v>1.1370097870751019E-3</c:v>
                </c:pt>
                <c:pt idx="583">
                  <c:v>3.144276384168543E-3</c:v>
                </c:pt>
                <c:pt idx="584">
                  <c:v>-2.0965520070953575E-3</c:v>
                </c:pt>
                <c:pt idx="585">
                  <c:v>5.8916728697703978E-3</c:v>
                </c:pt>
                <c:pt idx="586">
                  <c:v>1.2963406048286746E-2</c:v>
                </c:pt>
                <c:pt idx="587">
                  <c:v>9.3600404879249765E-3</c:v>
                </c:pt>
                <c:pt idx="588">
                  <c:v>-5.5194841325520709E-4</c:v>
                </c:pt>
                <c:pt idx="589">
                  <c:v>1.0168409968533727E-2</c:v>
                </c:pt>
                <c:pt idx="590">
                  <c:v>9.4787039870700245E-3</c:v>
                </c:pt>
                <c:pt idx="591">
                  <c:v>1.2693499764046455E-2</c:v>
                </c:pt>
                <c:pt idx="592">
                  <c:v>1.4740532085938504E-3</c:v>
                </c:pt>
                <c:pt idx="593">
                  <c:v>1.2411875698595349E-4</c:v>
                </c:pt>
                <c:pt idx="594">
                  <c:v>-8.2360906817949471E-4</c:v>
                </c:pt>
                <c:pt idx="595">
                  <c:v>1.5973921022348993E-2</c:v>
                </c:pt>
                <c:pt idx="596">
                  <c:v>4.1274230925100091E-3</c:v>
                </c:pt>
                <c:pt idx="597">
                  <c:v>-5.1792822892963867E-3</c:v>
                </c:pt>
                <c:pt idx="598">
                  <c:v>5.9500139951910742E-3</c:v>
                </c:pt>
                <c:pt idx="599">
                  <c:v>6.7694243507673152E-4</c:v>
                </c:pt>
                <c:pt idx="600">
                  <c:v>1.1662773673532528E-2</c:v>
                </c:pt>
                <c:pt idx="601">
                  <c:v>9.6696901942369008E-3</c:v>
                </c:pt>
                <c:pt idx="602">
                  <c:v>-2.1648583541961725E-2</c:v>
                </c:pt>
                <c:pt idx="603">
                  <c:v>6.9920327188778024E-3</c:v>
                </c:pt>
                <c:pt idx="604">
                  <c:v>1.8635107522078503E-2</c:v>
                </c:pt>
                <c:pt idx="605">
                  <c:v>3.0612067535469309E-3</c:v>
                </c:pt>
                <c:pt idx="606">
                  <c:v>1.1412358529852997E-2</c:v>
                </c:pt>
                <c:pt idx="607">
                  <c:v>3.1725692907725459E-3</c:v>
                </c:pt>
                <c:pt idx="608">
                  <c:v>-1.3333166137427589E-2</c:v>
                </c:pt>
                <c:pt idx="609">
                  <c:v>-1.3349873827846392E-2</c:v>
                </c:pt>
                <c:pt idx="610">
                  <c:v>-7.0856026418982983E-3</c:v>
                </c:pt>
                <c:pt idx="611">
                  <c:v>-2.6585018340830806E-2</c:v>
                </c:pt>
                <c:pt idx="612">
                  <c:v>-2.0059276502658323E-3</c:v>
                </c:pt>
                <c:pt idx="613">
                  <c:v>6.7118767621311901E-3</c:v>
                </c:pt>
                <c:pt idx="614">
                  <c:v>-1.1453744248810531E-2</c:v>
                </c:pt>
                <c:pt idx="615">
                  <c:v>2.0237381356359016E-3</c:v>
                </c:pt>
                <c:pt idx="616">
                  <c:v>-2.4402347242003131E-2</c:v>
                </c:pt>
                <c:pt idx="617">
                  <c:v>-1.0395024154283115E-2</c:v>
                </c:pt>
                <c:pt idx="618">
                  <c:v>-4.7899648705561028E-3</c:v>
                </c:pt>
                <c:pt idx="619">
                  <c:v>1.9484558702678526E-2</c:v>
                </c:pt>
                <c:pt idx="620">
                  <c:v>-4.1239843954680847E-2</c:v>
                </c:pt>
                <c:pt idx="621">
                  <c:v>7.5041493120747938E-3</c:v>
                </c:pt>
                <c:pt idx="622">
                  <c:v>-3.243575618919757E-2</c:v>
                </c:pt>
                <c:pt idx="623">
                  <c:v>5.3328174954478226E-3</c:v>
                </c:pt>
                <c:pt idx="624">
                  <c:v>-7.6394541056611618E-4</c:v>
                </c:pt>
                <c:pt idx="625">
                  <c:v>-3.9368178877678866E-3</c:v>
                </c:pt>
                <c:pt idx="626">
                  <c:v>3.1283302540971183E-2</c:v>
                </c:pt>
                <c:pt idx="627">
                  <c:v>3.5890581716415557E-2</c:v>
                </c:pt>
                <c:pt idx="628">
                  <c:v>4.6060912046476717E-3</c:v>
                </c:pt>
                <c:pt idx="629">
                  <c:v>-7.4205898339022103E-3</c:v>
                </c:pt>
                <c:pt idx="630">
                  <c:v>-6.7174191484193433E-3</c:v>
                </c:pt>
                <c:pt idx="631">
                  <c:v>-3.4435425684840759E-2</c:v>
                </c:pt>
                <c:pt idx="632">
                  <c:v>2.0781623550686325E-2</c:v>
                </c:pt>
                <c:pt idx="633">
                  <c:v>-1.4089927170340957E-3</c:v>
                </c:pt>
                <c:pt idx="634">
                  <c:v>3.21702666034707E-3</c:v>
                </c:pt>
                <c:pt idx="635">
                  <c:v>-2.4262337812937015E-2</c:v>
                </c:pt>
                <c:pt idx="636">
                  <c:v>1.1874939316890148E-3</c:v>
                </c:pt>
                <c:pt idx="637">
                  <c:v>2.1595001604812671E-2</c:v>
                </c:pt>
                <c:pt idx="638">
                  <c:v>1.810716663103799E-2</c:v>
                </c:pt>
                <c:pt idx="639">
                  <c:v>1.948731168609313E-2</c:v>
                </c:pt>
                <c:pt idx="640">
                  <c:v>1.2627692992012303E-2</c:v>
                </c:pt>
                <c:pt idx="641">
                  <c:v>-5.339379280271065E-4</c:v>
                </c:pt>
                <c:pt idx="642">
                  <c:v>1.6337726533154325E-3</c:v>
                </c:pt>
                <c:pt idx="643">
                  <c:v>3.9175523063801074E-3</c:v>
                </c:pt>
                <c:pt idx="644">
                  <c:v>-1.1446138995762781E-3</c:v>
                </c:pt>
                <c:pt idx="645">
                  <c:v>6.5840268990318496E-3</c:v>
                </c:pt>
                <c:pt idx="646">
                  <c:v>-5.3651340741395876E-4</c:v>
                </c:pt>
                <c:pt idx="647">
                  <c:v>-2.7408347666512463E-2</c:v>
                </c:pt>
                <c:pt idx="648">
                  <c:v>-1.2813814050577691E-2</c:v>
                </c:pt>
                <c:pt idx="649">
                  <c:v>1.8949965457757945E-2</c:v>
                </c:pt>
                <c:pt idx="650">
                  <c:v>-1.5877701505974975E-2</c:v>
                </c:pt>
                <c:pt idx="651">
                  <c:v>-8.8620487043478309E-3</c:v>
                </c:pt>
                <c:pt idx="652">
                  <c:v>-8.0916145481578256E-4</c:v>
                </c:pt>
                <c:pt idx="653">
                  <c:v>-1.7312477406621922E-3</c:v>
                </c:pt>
                <c:pt idx="654">
                  <c:v>1.5760093487546454E-2</c:v>
                </c:pt>
                <c:pt idx="655">
                  <c:v>-4.9695494203868359E-2</c:v>
                </c:pt>
                <c:pt idx="656">
                  <c:v>-2.9618585389452144E-2</c:v>
                </c:pt>
                <c:pt idx="657">
                  <c:v>-1.763672068462729E-2</c:v>
                </c:pt>
                <c:pt idx="658">
                  <c:v>-3.4221150612071587E-2</c:v>
                </c:pt>
                <c:pt idx="659">
                  <c:v>1.8005247489117603E-2</c:v>
                </c:pt>
                <c:pt idx="660">
                  <c:v>2.3917217458031053E-3</c:v>
                </c:pt>
                <c:pt idx="661">
                  <c:v>-6.1435230971506752E-3</c:v>
                </c:pt>
                <c:pt idx="662">
                  <c:v>1.1913620322592765E-2</c:v>
                </c:pt>
                <c:pt idx="663">
                  <c:v>-5.3008824009063314E-3</c:v>
                </c:pt>
                <c:pt idx="664">
                  <c:v>1.9285374531601077E-2</c:v>
                </c:pt>
                <c:pt idx="665">
                  <c:v>1.1205919203954537E-2</c:v>
                </c:pt>
                <c:pt idx="666">
                  <c:v>1.3594092097163191E-2</c:v>
                </c:pt>
                <c:pt idx="667">
                  <c:v>-9.9741663109444052E-3</c:v>
                </c:pt>
                <c:pt idx="668">
                  <c:v>1.0418452196019974E-2</c:v>
                </c:pt>
                <c:pt idx="669">
                  <c:v>-2.6943673799748047E-2</c:v>
                </c:pt>
                <c:pt idx="670">
                  <c:v>1.9228201279227683E-2</c:v>
                </c:pt>
                <c:pt idx="671">
                  <c:v>4.7588314091391391E-3</c:v>
                </c:pt>
                <c:pt idx="672">
                  <c:v>3.1360945863066199E-3</c:v>
                </c:pt>
                <c:pt idx="673">
                  <c:v>-9.7012245209334852E-2</c:v>
                </c:pt>
                <c:pt idx="674">
                  <c:v>-7.5686774148750954E-2</c:v>
                </c:pt>
                <c:pt idx="675">
                  <c:v>-3.7420689911293221E-2</c:v>
                </c:pt>
                <c:pt idx="676">
                  <c:v>-5.1108913112184601E-2</c:v>
                </c:pt>
                <c:pt idx="677">
                  <c:v>0.14262656840182664</c:v>
                </c:pt>
                <c:pt idx="678">
                  <c:v>-4.3321479046738082E-2</c:v>
                </c:pt>
                <c:pt idx="679">
                  <c:v>3.9789783756308504E-2</c:v>
                </c:pt>
                <c:pt idx="680">
                  <c:v>2.1814161028720105E-2</c:v>
                </c:pt>
                <c:pt idx="681">
                  <c:v>-1.8763780498828419E-3</c:v>
                </c:pt>
                <c:pt idx="682">
                  <c:v>-3.9712330178618291E-2</c:v>
                </c:pt>
                <c:pt idx="683">
                  <c:v>1.3852030746099754E-2</c:v>
                </c:pt>
                <c:pt idx="684">
                  <c:v>-1.9586360052650822E-2</c:v>
                </c:pt>
                <c:pt idx="685">
                  <c:v>3.3500579038641246E-2</c:v>
                </c:pt>
                <c:pt idx="686">
                  <c:v>2.403589271740848E-2</c:v>
                </c:pt>
                <c:pt idx="687">
                  <c:v>1.8265148066704456E-2</c:v>
                </c:pt>
                <c:pt idx="688">
                  <c:v>4.3574730234427188E-3</c:v>
                </c:pt>
                <c:pt idx="689">
                  <c:v>4.0996226000586085E-3</c:v>
                </c:pt>
                <c:pt idx="690">
                  <c:v>5.0772299256529492E-3</c:v>
                </c:pt>
                <c:pt idx="691">
                  <c:v>6.0919284522071388E-3</c:v>
                </c:pt>
                <c:pt idx="692">
                  <c:v>3.8493155565529178E-3</c:v>
                </c:pt>
                <c:pt idx="693">
                  <c:v>-3.8070683052346281E-2</c:v>
                </c:pt>
                <c:pt idx="694">
                  <c:v>-3.1963922490955789E-2</c:v>
                </c:pt>
                <c:pt idx="695">
                  <c:v>-1.9207640434543466E-3</c:v>
                </c:pt>
                <c:pt idx="696">
                  <c:v>-1.1449166652691998E-2</c:v>
                </c:pt>
                <c:pt idx="697">
                  <c:v>6.2954573658574797E-3</c:v>
                </c:pt>
                <c:pt idx="698">
                  <c:v>5.2548941618059111E-3</c:v>
                </c:pt>
                <c:pt idx="699">
                  <c:v>6.1232705781696525E-2</c:v>
                </c:pt>
                <c:pt idx="700">
                  <c:v>1.0103439368538285E-2</c:v>
                </c:pt>
                <c:pt idx="701">
                  <c:v>-2.8209561835192357E-3</c:v>
                </c:pt>
                <c:pt idx="702">
                  <c:v>-4.1562780249092138E-3</c:v>
                </c:pt>
                <c:pt idx="703">
                  <c:v>-8.9220465878445099E-4</c:v>
                </c:pt>
                <c:pt idx="704">
                  <c:v>-1.1815805406995545E-2</c:v>
                </c:pt>
                <c:pt idx="705">
                  <c:v>-9.2380078664240639E-3</c:v>
                </c:pt>
                <c:pt idx="706">
                  <c:v>-2.3326517727802514E-2</c:v>
                </c:pt>
                <c:pt idx="707">
                  <c:v>-3.6198594568147015E-3</c:v>
                </c:pt>
                <c:pt idx="708">
                  <c:v>-3.0708459850885432E-2</c:v>
                </c:pt>
                <c:pt idx="709">
                  <c:v>2.4978472223714604E-2</c:v>
                </c:pt>
                <c:pt idx="710">
                  <c:v>1.051540603736635E-3</c:v>
                </c:pt>
                <c:pt idx="711">
                  <c:v>-2.3499653810241695E-3</c:v>
                </c:pt>
                <c:pt idx="712">
                  <c:v>4.4946820282842194E-3</c:v>
                </c:pt>
                <c:pt idx="713">
                  <c:v>4.2209820748611085E-3</c:v>
                </c:pt>
                <c:pt idx="714">
                  <c:v>7.752533620641015E-3</c:v>
                </c:pt>
                <c:pt idx="715">
                  <c:v>-2.2131225410159942E-3</c:v>
                </c:pt>
                <c:pt idx="716">
                  <c:v>-1.085467377424609E-2</c:v>
                </c:pt>
                <c:pt idx="717">
                  <c:v>1.6265197765738839E-2</c:v>
                </c:pt>
                <c:pt idx="718">
                  <c:v>-1.2188966197941313E-2</c:v>
                </c:pt>
                <c:pt idx="719">
                  <c:v>6.0363455019323935E-3</c:v>
                </c:pt>
                <c:pt idx="720">
                  <c:v>-1.9374320824084745E-2</c:v>
                </c:pt>
                <c:pt idx="721">
                  <c:v>2.1019583163846231E-3</c:v>
                </c:pt>
                <c:pt idx="722">
                  <c:v>-1.3898091363512876E-2</c:v>
                </c:pt>
                <c:pt idx="723">
                  <c:v>9.9779323623961844E-3</c:v>
                </c:pt>
                <c:pt idx="724">
                  <c:v>-1.4111987879174314E-2</c:v>
                </c:pt>
                <c:pt idx="725">
                  <c:v>4.7975950651106452E-3</c:v>
                </c:pt>
                <c:pt idx="726">
                  <c:v>2.2232444520722885E-2</c:v>
                </c:pt>
                <c:pt idx="727">
                  <c:v>2.4870489470421213E-3</c:v>
                </c:pt>
                <c:pt idx="728">
                  <c:v>-5.9763371838871746E-3</c:v>
                </c:pt>
                <c:pt idx="729">
                  <c:v>6.2749649913414491E-3</c:v>
                </c:pt>
                <c:pt idx="730">
                  <c:v>-2.7856767544963516E-3</c:v>
                </c:pt>
                <c:pt idx="731">
                  <c:v>3.9415356034302172E-4</c:v>
                </c:pt>
                <c:pt idx="732">
                  <c:v>2.0143045440712673E-2</c:v>
                </c:pt>
                <c:pt idx="733">
                  <c:v>1.2828753405870429E-2</c:v>
                </c:pt>
                <c:pt idx="734">
                  <c:v>2.1987405539091748E-2</c:v>
                </c:pt>
                <c:pt idx="735">
                  <c:v>5.2131402249676502E-3</c:v>
                </c:pt>
                <c:pt idx="736">
                  <c:v>-1.7001226612699996E-2</c:v>
                </c:pt>
                <c:pt idx="737">
                  <c:v>2.8661097056380616E-4</c:v>
                </c:pt>
                <c:pt idx="738">
                  <c:v>5.3683028275342357E-3</c:v>
                </c:pt>
                <c:pt idx="739">
                  <c:v>5.9962383579875902E-3</c:v>
                </c:pt>
                <c:pt idx="740">
                  <c:v>-5.9012309948453358E-3</c:v>
                </c:pt>
                <c:pt idx="741">
                  <c:v>-1.2105082737466735E-2</c:v>
                </c:pt>
                <c:pt idx="742">
                  <c:v>2.3483489516511204E-3</c:v>
                </c:pt>
                <c:pt idx="743">
                  <c:v>5.0095918393392863E-3</c:v>
                </c:pt>
                <c:pt idx="744">
                  <c:v>-6.684077344907655E-4</c:v>
                </c:pt>
                <c:pt idx="745">
                  <c:v>5.510548018567504E-3</c:v>
                </c:pt>
                <c:pt idx="746">
                  <c:v>6.1320109278828888E-3</c:v>
                </c:pt>
                <c:pt idx="747">
                  <c:v>8.999438065807934E-3</c:v>
                </c:pt>
                <c:pt idx="748">
                  <c:v>-1.1702751481903206E-3</c:v>
                </c:pt>
                <c:pt idx="749">
                  <c:v>-1.8189835587435314E-3</c:v>
                </c:pt>
                <c:pt idx="750">
                  <c:v>5.582359888180251E-4</c:v>
                </c:pt>
                <c:pt idx="751">
                  <c:v>7.922537688992362E-4</c:v>
                </c:pt>
                <c:pt idx="752">
                  <c:v>-1.3070046843432671E-2</c:v>
                </c:pt>
                <c:pt idx="753">
                  <c:v>-1.0562209660229398E-2</c:v>
                </c:pt>
                <c:pt idx="754">
                  <c:v>-7.107186187186431E-3</c:v>
                </c:pt>
                <c:pt idx="755">
                  <c:v>-2.5320286099435509E-2</c:v>
                </c:pt>
                <c:pt idx="756">
                  <c:v>4.7762996922058104E-3</c:v>
                </c:pt>
                <c:pt idx="757">
                  <c:v>-2.1084501326440984E-3</c:v>
                </c:pt>
                <c:pt idx="758">
                  <c:v>4.9650117177942869E-2</c:v>
                </c:pt>
                <c:pt idx="759">
                  <c:v>3.1301315054409647E-2</c:v>
                </c:pt>
                <c:pt idx="760">
                  <c:v>4.1482052068205252E-2</c:v>
                </c:pt>
                <c:pt idx="761">
                  <c:v>-8.3706752678006386E-3</c:v>
                </c:pt>
                <c:pt idx="762">
                  <c:v>1.0816796329898818E-2</c:v>
                </c:pt>
                <c:pt idx="763">
                  <c:v>1.589299844803696E-2</c:v>
                </c:pt>
                <c:pt idx="764">
                  <c:v>-2.3558554737179551E-3</c:v>
                </c:pt>
                <c:pt idx="765">
                  <c:v>-5.1263575396708321E-3</c:v>
                </c:pt>
                <c:pt idx="766">
                  <c:v>-3.0329312677172403E-3</c:v>
                </c:pt>
                <c:pt idx="767">
                  <c:v>-1.4243160915142653E-3</c:v>
                </c:pt>
                <c:pt idx="768">
                  <c:v>-1.993473986323218E-2</c:v>
                </c:pt>
                <c:pt idx="769">
                  <c:v>-4.9238854114112326E-3</c:v>
                </c:pt>
                <c:pt idx="770">
                  <c:v>1.2634132790174129E-2</c:v>
                </c:pt>
                <c:pt idx="771">
                  <c:v>-2.6340494555907247E-3</c:v>
                </c:pt>
                <c:pt idx="772">
                  <c:v>9.4205726530267372E-3</c:v>
                </c:pt>
                <c:pt idx="773">
                  <c:v>5.1337365379429791E-3</c:v>
                </c:pt>
                <c:pt idx="774">
                  <c:v>8.9404927263918941E-3</c:v>
                </c:pt>
                <c:pt idx="775">
                  <c:v>-1.8110635027608648E-3</c:v>
                </c:pt>
                <c:pt idx="776">
                  <c:v>-1.047775111704112E-2</c:v>
                </c:pt>
                <c:pt idx="777">
                  <c:v>3.7380849870102192E-2</c:v>
                </c:pt>
                <c:pt idx="778">
                  <c:v>5.4803841026139838E-3</c:v>
                </c:pt>
                <c:pt idx="779">
                  <c:v>-3.7612996151375279E-4</c:v>
                </c:pt>
                <c:pt idx="780">
                  <c:v>-7.577732825389762E-3</c:v>
                </c:pt>
                <c:pt idx="781">
                  <c:v>-1.4953644849055082E-2</c:v>
                </c:pt>
                <c:pt idx="782">
                  <c:v>-3.2792958017271015E-2</c:v>
                </c:pt>
                <c:pt idx="783">
                  <c:v>1.4186003880808831E-2</c:v>
                </c:pt>
                <c:pt idx="784">
                  <c:v>1.7409164769937202E-2</c:v>
                </c:pt>
                <c:pt idx="785">
                  <c:v>1.1177580971116983E-2</c:v>
                </c:pt>
                <c:pt idx="786">
                  <c:v>6.1061869618729732E-3</c:v>
                </c:pt>
                <c:pt idx="787">
                  <c:v>3.523488998088934E-3</c:v>
                </c:pt>
                <c:pt idx="788">
                  <c:v>-4.655822715498993E-3</c:v>
                </c:pt>
                <c:pt idx="789">
                  <c:v>3.152847573355691E-2</c:v>
                </c:pt>
                <c:pt idx="790">
                  <c:v>4.2193440235018427E-2</c:v>
                </c:pt>
                <c:pt idx="791">
                  <c:v>-6.4646895957995061E-3</c:v>
                </c:pt>
                <c:pt idx="792">
                  <c:v>-8.3673893013791814E-3</c:v>
                </c:pt>
                <c:pt idx="793">
                  <c:v>1.7910362646924066E-2</c:v>
                </c:pt>
                <c:pt idx="794">
                  <c:v>-5.5030401608776973E-3</c:v>
                </c:pt>
                <c:pt idx="795">
                  <c:v>-4.0399331846672493E-3</c:v>
                </c:pt>
                <c:pt idx="796">
                  <c:v>7.8332428708840596E-4</c:v>
                </c:pt>
                <c:pt idx="797">
                  <c:v>3.2173884433226436E-3</c:v>
                </c:pt>
                <c:pt idx="798">
                  <c:v>6.5558624577845013E-3</c:v>
                </c:pt>
                <c:pt idx="799">
                  <c:v>3.4541139424183009E-3</c:v>
                </c:pt>
                <c:pt idx="800">
                  <c:v>-5.1700424660639181E-3</c:v>
                </c:pt>
                <c:pt idx="801">
                  <c:v>-8.1609866437003849E-4</c:v>
                </c:pt>
                <c:pt idx="802">
                  <c:v>6.1414513823877534E-3</c:v>
                </c:pt>
                <c:pt idx="803">
                  <c:v>-1.569899554685315E-2</c:v>
                </c:pt>
                <c:pt idx="804">
                  <c:v>-3.5134844361764436E-2</c:v>
                </c:pt>
                <c:pt idx="805">
                  <c:v>9.6994207465352714E-3</c:v>
                </c:pt>
                <c:pt idx="806">
                  <c:v>4.4490463596471701E-4</c:v>
                </c:pt>
                <c:pt idx="807">
                  <c:v>6.316468150636783E-3</c:v>
                </c:pt>
                <c:pt idx="808">
                  <c:v>-7.6112862275411405E-3</c:v>
                </c:pt>
                <c:pt idx="809">
                  <c:v>1.9371522109804688E-2</c:v>
                </c:pt>
                <c:pt idx="810">
                  <c:v>3.8680630324908392E-2</c:v>
                </c:pt>
                <c:pt idx="811">
                  <c:v>2.0228551282317968E-3</c:v>
                </c:pt>
                <c:pt idx="812">
                  <c:v>-1.6577662768929691E-2</c:v>
                </c:pt>
                <c:pt idx="813">
                  <c:v>4.363255066554628E-3</c:v>
                </c:pt>
                <c:pt idx="814">
                  <c:v>1.2401219905186259E-2</c:v>
                </c:pt>
                <c:pt idx="815">
                  <c:v>2.2536897717162413E-2</c:v>
                </c:pt>
                <c:pt idx="816">
                  <c:v>7.0418995918384902E-4</c:v>
                </c:pt>
                <c:pt idx="817">
                  <c:v>2.60008515849069E-3</c:v>
                </c:pt>
                <c:pt idx="818">
                  <c:v>6.2843795909246492E-3</c:v>
                </c:pt>
                <c:pt idx="819">
                  <c:v>-3.8059072568557006E-3</c:v>
                </c:pt>
                <c:pt idx="820">
                  <c:v>-4.8923467685183988E-3</c:v>
                </c:pt>
                <c:pt idx="821">
                  <c:v>3.6724297124804423E-3</c:v>
                </c:pt>
                <c:pt idx="822">
                  <c:v>3.7095290807298759E-4</c:v>
                </c:pt>
                <c:pt idx="823">
                  <c:v>-1.3694997157917518E-3</c:v>
                </c:pt>
                <c:pt idx="824">
                  <c:v>-4.8323301087222032E-3</c:v>
                </c:pt>
                <c:pt idx="825">
                  <c:v>4.5388870726385091E-3</c:v>
                </c:pt>
                <c:pt idx="826">
                  <c:v>2.1372771991686128E-2</c:v>
                </c:pt>
                <c:pt idx="827">
                  <c:v>-6.4902719039475008E-3</c:v>
                </c:pt>
                <c:pt idx="828">
                  <c:v>-1.9014163765951892E-3</c:v>
                </c:pt>
                <c:pt idx="829">
                  <c:v>-1.9821975839582977E-3</c:v>
                </c:pt>
                <c:pt idx="830">
                  <c:v>-1.8336890820755521E-2</c:v>
                </c:pt>
                <c:pt idx="831">
                  <c:v>-7.485029943605759E-5</c:v>
                </c:pt>
                <c:pt idx="832">
                  <c:v>4.1792855962156806E-3</c:v>
                </c:pt>
                <c:pt idx="833">
                  <c:v>-8.6392332355387357E-3</c:v>
                </c:pt>
                <c:pt idx="834">
                  <c:v>1.9489222446322996E-2</c:v>
                </c:pt>
                <c:pt idx="835">
                  <c:v>1.6186186935039201E-2</c:v>
                </c:pt>
                <c:pt idx="836">
                  <c:v>3.7981626946865989E-3</c:v>
                </c:pt>
                <c:pt idx="837">
                  <c:v>2.0938560218358897E-3</c:v>
                </c:pt>
                <c:pt idx="838">
                  <c:v>4.6700811652773452E-3</c:v>
                </c:pt>
                <c:pt idx="839">
                  <c:v>1.5126111304433606E-2</c:v>
                </c:pt>
                <c:pt idx="840">
                  <c:v>1.0855357609555289E-2</c:v>
                </c:pt>
                <c:pt idx="841">
                  <c:v>-7.1533423320088909E-3</c:v>
                </c:pt>
                <c:pt idx="842">
                  <c:v>-1.2213037355197996E-2</c:v>
                </c:pt>
                <c:pt idx="843">
                  <c:v>-6.866387001606163E-3</c:v>
                </c:pt>
                <c:pt idx="844">
                  <c:v>-3.1969877036034039E-3</c:v>
                </c:pt>
                <c:pt idx="845">
                  <c:v>-2.5570250033236062E-3</c:v>
                </c:pt>
                <c:pt idx="846">
                  <c:v>5.7540127069270735E-3</c:v>
                </c:pt>
                <c:pt idx="847">
                  <c:v>-2.6928465334010638E-3</c:v>
                </c:pt>
                <c:pt idx="848">
                  <c:v>8.9962042088118045E-4</c:v>
                </c:pt>
                <c:pt idx="849">
                  <c:v>-1.5097935889465607E-2</c:v>
                </c:pt>
                <c:pt idx="850">
                  <c:v>1.8204807228417211E-3</c:v>
                </c:pt>
                <c:pt idx="851">
                  <c:v>-1.0136750418094944E-2</c:v>
                </c:pt>
                <c:pt idx="852">
                  <c:v>1.2878965281186326E-3</c:v>
                </c:pt>
                <c:pt idx="853">
                  <c:v>5.4203855091453125E-3</c:v>
                </c:pt>
                <c:pt idx="854">
                  <c:v>-9.9131352053179068E-3</c:v>
                </c:pt>
                <c:pt idx="855">
                  <c:v>5.1140264214046211E-3</c:v>
                </c:pt>
                <c:pt idx="856">
                  <c:v>5.3110217406395314E-3</c:v>
                </c:pt>
                <c:pt idx="857">
                  <c:v>-1.4999143105194274E-3</c:v>
                </c:pt>
                <c:pt idx="858">
                  <c:v>1.3171183359092151E-3</c:v>
                </c:pt>
                <c:pt idx="859">
                  <c:v>-2.4856829844541162E-3</c:v>
                </c:pt>
                <c:pt idx="860">
                  <c:v>-4.4780772478707773E-3</c:v>
                </c:pt>
                <c:pt idx="861">
                  <c:v>-3.1307470954378869E-3</c:v>
                </c:pt>
                <c:pt idx="862">
                  <c:v>-1.393562877342772E-2</c:v>
                </c:pt>
                <c:pt idx="863">
                  <c:v>-1.8502772125773389E-2</c:v>
                </c:pt>
                <c:pt idx="864">
                  <c:v>-7.7671483277429393E-3</c:v>
                </c:pt>
                <c:pt idx="865">
                  <c:v>-4.9683558072867538E-3</c:v>
                </c:pt>
                <c:pt idx="866">
                  <c:v>1.2743134913349257E-3</c:v>
                </c:pt>
                <c:pt idx="867">
                  <c:v>3.3864056170824532E-3</c:v>
                </c:pt>
                <c:pt idx="868">
                  <c:v>3.0682821927987135E-3</c:v>
                </c:pt>
                <c:pt idx="869">
                  <c:v>-4.1842592502265383E-3</c:v>
                </c:pt>
                <c:pt idx="870">
                  <c:v>-6.7531540089407396E-3</c:v>
                </c:pt>
                <c:pt idx="871">
                  <c:v>-1.0435351681561974E-2</c:v>
                </c:pt>
                <c:pt idx="872">
                  <c:v>-3.5167846056976683E-2</c:v>
                </c:pt>
                <c:pt idx="873">
                  <c:v>3.8429890559868491E-3</c:v>
                </c:pt>
                <c:pt idx="874">
                  <c:v>2.8252254754879353E-3</c:v>
                </c:pt>
                <c:pt idx="875">
                  <c:v>-1.2501866825963114E-3</c:v>
                </c:pt>
                <c:pt idx="876">
                  <c:v>2.9279655875895209E-2</c:v>
                </c:pt>
                <c:pt idx="877">
                  <c:v>1.1138073055739712E-2</c:v>
                </c:pt>
                <c:pt idx="878">
                  <c:v>-7.1135922430035671E-3</c:v>
                </c:pt>
                <c:pt idx="879">
                  <c:v>7.1523468257378049E-3</c:v>
                </c:pt>
                <c:pt idx="880">
                  <c:v>4.6319649159572282E-3</c:v>
                </c:pt>
                <c:pt idx="881">
                  <c:v>3.9782559584050539E-2</c:v>
                </c:pt>
                <c:pt idx="882">
                  <c:v>-1.9666565395948976E-3</c:v>
                </c:pt>
                <c:pt idx="883">
                  <c:v>2.56824880892388E-2</c:v>
                </c:pt>
                <c:pt idx="884">
                  <c:v>-2.1018917509266826E-3</c:v>
                </c:pt>
                <c:pt idx="885">
                  <c:v>7.9781891336192772E-3</c:v>
                </c:pt>
                <c:pt idx="886">
                  <c:v>-1.1729065827109895E-2</c:v>
                </c:pt>
                <c:pt idx="887">
                  <c:v>-3.4287832242565278E-3</c:v>
                </c:pt>
                <c:pt idx="888">
                  <c:v>6.6280879236198581E-3</c:v>
                </c:pt>
                <c:pt idx="889">
                  <c:v>-5.1274190548633441E-2</c:v>
                </c:pt>
                <c:pt idx="890">
                  <c:v>-2.2995738039161814E-2</c:v>
                </c:pt>
                <c:pt idx="891">
                  <c:v>3.1176754349496051E-2</c:v>
                </c:pt>
                <c:pt idx="892">
                  <c:v>1.7795283267892476E-3</c:v>
                </c:pt>
                <c:pt idx="893">
                  <c:v>-1.4364066906673809E-2</c:v>
                </c:pt>
                <c:pt idx="894">
                  <c:v>1.5233747259448463E-2</c:v>
                </c:pt>
                <c:pt idx="895">
                  <c:v>6.0291086241762307E-3</c:v>
                </c:pt>
                <c:pt idx="896">
                  <c:v>2.214386810430231E-2</c:v>
                </c:pt>
                <c:pt idx="897">
                  <c:v>7.650530571124887E-3</c:v>
                </c:pt>
                <c:pt idx="898">
                  <c:v>-4.6785421060705724E-3</c:v>
                </c:pt>
                <c:pt idx="899">
                  <c:v>-3.265793923204912E-2</c:v>
                </c:pt>
                <c:pt idx="900">
                  <c:v>2.0419746176394381E-3</c:v>
                </c:pt>
                <c:pt idx="901">
                  <c:v>-3.8984928540938429E-3</c:v>
                </c:pt>
                <c:pt idx="902">
                  <c:v>-4.7135830609543088E-3</c:v>
                </c:pt>
                <c:pt idx="903">
                  <c:v>-8.4178802032305131E-3</c:v>
                </c:pt>
                <c:pt idx="904">
                  <c:v>-1.0778339263590005E-2</c:v>
                </c:pt>
                <c:pt idx="905">
                  <c:v>9.3940963386702613E-3</c:v>
                </c:pt>
                <c:pt idx="906">
                  <c:v>3.1885699591475778E-3</c:v>
                </c:pt>
                <c:pt idx="907">
                  <c:v>3.4513834637848285E-4</c:v>
                </c:pt>
                <c:pt idx="908">
                  <c:v>-1.9552668124098685E-2</c:v>
                </c:pt>
                <c:pt idx="909">
                  <c:v>-2.2298702052488843E-2</c:v>
                </c:pt>
                <c:pt idx="910">
                  <c:v>1.0736970368314249E-2</c:v>
                </c:pt>
                <c:pt idx="911">
                  <c:v>5.5615960336526096E-3</c:v>
                </c:pt>
                <c:pt idx="912">
                  <c:v>-1.7018480043426643E-2</c:v>
                </c:pt>
                <c:pt idx="913">
                  <c:v>-3.9286480676107884E-3</c:v>
                </c:pt>
                <c:pt idx="914">
                  <c:v>-3.9038182186668519E-3</c:v>
                </c:pt>
                <c:pt idx="915">
                  <c:v>1.4014804546515736E-2</c:v>
                </c:pt>
                <c:pt idx="916">
                  <c:v>5.9626738395318244E-4</c:v>
                </c:pt>
                <c:pt idx="917">
                  <c:v>3.8868886440003949E-3</c:v>
                </c:pt>
                <c:pt idx="918">
                  <c:v>1.068228227631363E-3</c:v>
                </c:pt>
                <c:pt idx="919">
                  <c:v>-1.6305250708436279E-2</c:v>
                </c:pt>
                <c:pt idx="920">
                  <c:v>-8.7601230328726749E-3</c:v>
                </c:pt>
                <c:pt idx="921">
                  <c:v>2.8617915568660734E-2</c:v>
                </c:pt>
                <c:pt idx="922">
                  <c:v>7.2239331071617657E-3</c:v>
                </c:pt>
                <c:pt idx="923">
                  <c:v>1.1338091332883499E-3</c:v>
                </c:pt>
                <c:pt idx="924">
                  <c:v>1.1422479373029577E-2</c:v>
                </c:pt>
                <c:pt idx="925">
                  <c:v>-2.0923551983054289E-2</c:v>
                </c:pt>
                <c:pt idx="926">
                  <c:v>2.1078063726254075E-2</c:v>
                </c:pt>
                <c:pt idx="927">
                  <c:v>6.1225859831717522E-3</c:v>
                </c:pt>
                <c:pt idx="928">
                  <c:v>-3.838992648799145E-5</c:v>
                </c:pt>
                <c:pt idx="929">
                  <c:v>-4.9261183360560009E-3</c:v>
                </c:pt>
                <c:pt idx="930">
                  <c:v>-1.4284889404779955E-3</c:v>
                </c:pt>
                <c:pt idx="931">
                  <c:v>2.8940069400880748E-2</c:v>
                </c:pt>
                <c:pt idx="932">
                  <c:v>-1.1437755629341895E-2</c:v>
                </c:pt>
                <c:pt idx="933">
                  <c:v>2.5599658921175095E-2</c:v>
                </c:pt>
                <c:pt idx="934">
                  <c:v>1.0381480367807207E-2</c:v>
                </c:pt>
                <c:pt idx="935">
                  <c:v>-2.5519726208095544E-2</c:v>
                </c:pt>
                <c:pt idx="936">
                  <c:v>2.5959109613794974E-2</c:v>
                </c:pt>
                <c:pt idx="937">
                  <c:v>9.513356004725754E-4</c:v>
                </c:pt>
                <c:pt idx="938">
                  <c:v>-8.7054490164650087E-3</c:v>
                </c:pt>
                <c:pt idx="939">
                  <c:v>-1.2809501824235157E-2</c:v>
                </c:pt>
                <c:pt idx="940">
                  <c:v>1.1517440437700144E-2</c:v>
                </c:pt>
                <c:pt idx="941">
                  <c:v>-1.9967467069029921E-3</c:v>
                </c:pt>
                <c:pt idx="942">
                  <c:v>4.3581100149818943E-3</c:v>
                </c:pt>
                <c:pt idx="943">
                  <c:v>3.1879977701486747E-2</c:v>
                </c:pt>
                <c:pt idx="944">
                  <c:v>-1.1885878837346778E-2</c:v>
                </c:pt>
                <c:pt idx="945">
                  <c:v>2.6204240836375379E-2</c:v>
                </c:pt>
                <c:pt idx="946">
                  <c:v>1.1649802031270542E-2</c:v>
                </c:pt>
                <c:pt idx="947">
                  <c:v>-2.4349943593654784E-4</c:v>
                </c:pt>
                <c:pt idx="948">
                  <c:v>2.0250020420335392E-2</c:v>
                </c:pt>
                <c:pt idx="949">
                  <c:v>-2.1843012097694796E-3</c:v>
                </c:pt>
                <c:pt idx="950">
                  <c:v>7.2172982993524365E-3</c:v>
                </c:pt>
                <c:pt idx="951">
                  <c:v>1.3711535921445313E-2</c:v>
                </c:pt>
                <c:pt idx="952">
                  <c:v>-2.2107599276822857E-3</c:v>
                </c:pt>
                <c:pt idx="953">
                  <c:v>6.7509112751578601E-3</c:v>
                </c:pt>
                <c:pt idx="954">
                  <c:v>-7.9924180196410833E-3</c:v>
                </c:pt>
                <c:pt idx="955">
                  <c:v>3.7868043442271168E-3</c:v>
                </c:pt>
                <c:pt idx="956">
                  <c:v>1.0911255586213623E-2</c:v>
                </c:pt>
                <c:pt idx="957">
                  <c:v>9.0244996897619837E-3</c:v>
                </c:pt>
                <c:pt idx="958">
                  <c:v>1.2479593708054054E-2</c:v>
                </c:pt>
                <c:pt idx="959">
                  <c:v>-1.5879449176507568E-3</c:v>
                </c:pt>
                <c:pt idx="960">
                  <c:v>8.1398427402792906E-3</c:v>
                </c:pt>
                <c:pt idx="961">
                  <c:v>5.3259879491204089E-3</c:v>
                </c:pt>
                <c:pt idx="962">
                  <c:v>-1.4409916514309419E-3</c:v>
                </c:pt>
                <c:pt idx="963">
                  <c:v>-1.859781597624946E-2</c:v>
                </c:pt>
                <c:pt idx="964">
                  <c:v>2.8609696946937397E-2</c:v>
                </c:pt>
                <c:pt idx="965">
                  <c:v>-1.5796702347538986E-2</c:v>
                </c:pt>
                <c:pt idx="966">
                  <c:v>3.1215330500486893E-3</c:v>
                </c:pt>
                <c:pt idx="967">
                  <c:v>-1.2577562059047523E-2</c:v>
                </c:pt>
                <c:pt idx="968">
                  <c:v>-1.9051949276413717E-2</c:v>
                </c:pt>
                <c:pt idx="969">
                  <c:v>-3.7126998829657858E-2</c:v>
                </c:pt>
                <c:pt idx="970">
                  <c:v>3.5387321555611449E-3</c:v>
                </c:pt>
                <c:pt idx="971">
                  <c:v>1.3794261745732027E-2</c:v>
                </c:pt>
                <c:pt idx="972">
                  <c:v>-1.5338769612274147E-2</c:v>
                </c:pt>
                <c:pt idx="973">
                  <c:v>1.8007464718635471E-2</c:v>
                </c:pt>
                <c:pt idx="974">
                  <c:v>9.4685594754351596E-3</c:v>
                </c:pt>
                <c:pt idx="975">
                  <c:v>-1.105540586747018E-2</c:v>
                </c:pt>
                <c:pt idx="976">
                  <c:v>6.9365218526251824E-3</c:v>
                </c:pt>
                <c:pt idx="977">
                  <c:v>-3.3612347198123727E-3</c:v>
                </c:pt>
                <c:pt idx="978">
                  <c:v>-9.1661530301196201E-3</c:v>
                </c:pt>
                <c:pt idx="979">
                  <c:v>-4.1540459476640439E-3</c:v>
                </c:pt>
                <c:pt idx="980">
                  <c:v>-6.3129205785995374E-2</c:v>
                </c:pt>
                <c:pt idx="981">
                  <c:v>3.0882886573399503E-2</c:v>
                </c:pt>
                <c:pt idx="982">
                  <c:v>-7.2146302470063942E-3</c:v>
                </c:pt>
                <c:pt idx="983">
                  <c:v>2.6686927811681731E-2</c:v>
                </c:pt>
                <c:pt idx="984">
                  <c:v>1.7199862120598052E-2</c:v>
                </c:pt>
                <c:pt idx="985">
                  <c:v>4.7271698660718856E-2</c:v>
                </c:pt>
                <c:pt idx="986">
                  <c:v>1.297318972401872E-2</c:v>
                </c:pt>
                <c:pt idx="987">
                  <c:v>-6.4172715894170937E-3</c:v>
                </c:pt>
                <c:pt idx="988">
                  <c:v>8.7493547484261865E-3</c:v>
                </c:pt>
                <c:pt idx="989">
                  <c:v>8.9897525738118558E-3</c:v>
                </c:pt>
                <c:pt idx="990">
                  <c:v>-2.8501776902917029E-3</c:v>
                </c:pt>
                <c:pt idx="991">
                  <c:v>6.2912178163637743E-3</c:v>
                </c:pt>
                <c:pt idx="992">
                  <c:v>-7.7511184215881841E-3</c:v>
                </c:pt>
                <c:pt idx="993">
                  <c:v>3.9359959488823669E-2</c:v>
                </c:pt>
                <c:pt idx="994">
                  <c:v>1.7434911035170787E-2</c:v>
                </c:pt>
                <c:pt idx="995">
                  <c:v>1.4392806082794219E-3</c:v>
                </c:pt>
                <c:pt idx="996">
                  <c:v>-2.1656685144717837E-2</c:v>
                </c:pt>
                <c:pt idx="997">
                  <c:v>3.5150495440390526E-3</c:v>
                </c:pt>
                <c:pt idx="998">
                  <c:v>-5.6607100043088191E-3</c:v>
                </c:pt>
                <c:pt idx="999">
                  <c:v>-1.3064814046267722E-2</c:v>
                </c:pt>
                <c:pt idx="1000">
                  <c:v>3.4707461169469225E-2</c:v>
                </c:pt>
                <c:pt idx="1001">
                  <c:v>1.1613284133360819E-2</c:v>
                </c:pt>
                <c:pt idx="1002">
                  <c:v>9.3650516802032211E-3</c:v>
                </c:pt>
                <c:pt idx="1003">
                  <c:v>-5.5730163259850177E-3</c:v>
                </c:pt>
                <c:pt idx="1004">
                  <c:v>-1.8292192244909272E-2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F-824F-A737-77DBDA5DAFB5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Neg. VaR(95%)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Chart!$A$2:$A$1006</c:f>
              <c:numCache>
                <c:formatCode>m/d/yy</c:formatCode>
                <c:ptCount val="1005"/>
                <c:pt idx="0">
                  <c:v>44770</c:v>
                </c:pt>
                <c:pt idx="1">
                  <c:v>44771</c:v>
                </c:pt>
                <c:pt idx="2">
                  <c:v>44774</c:v>
                </c:pt>
                <c:pt idx="3">
                  <c:v>44775</c:v>
                </c:pt>
                <c:pt idx="4">
                  <c:v>44776</c:v>
                </c:pt>
                <c:pt idx="5">
                  <c:v>44777</c:v>
                </c:pt>
                <c:pt idx="6">
                  <c:v>44778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44788</c:v>
                </c:pt>
                <c:pt idx="13">
                  <c:v>44789</c:v>
                </c:pt>
                <c:pt idx="14">
                  <c:v>44790</c:v>
                </c:pt>
                <c:pt idx="15">
                  <c:v>44791</c:v>
                </c:pt>
                <c:pt idx="16">
                  <c:v>44792</c:v>
                </c:pt>
                <c:pt idx="17">
                  <c:v>44795</c:v>
                </c:pt>
                <c:pt idx="18">
                  <c:v>44796</c:v>
                </c:pt>
                <c:pt idx="19">
                  <c:v>44797</c:v>
                </c:pt>
                <c:pt idx="20">
                  <c:v>44798</c:v>
                </c:pt>
                <c:pt idx="21">
                  <c:v>44799</c:v>
                </c:pt>
                <c:pt idx="22">
                  <c:v>44802</c:v>
                </c:pt>
                <c:pt idx="23">
                  <c:v>44803</c:v>
                </c:pt>
                <c:pt idx="24">
                  <c:v>44804</c:v>
                </c:pt>
                <c:pt idx="25">
                  <c:v>44805</c:v>
                </c:pt>
                <c:pt idx="26">
                  <c:v>44806</c:v>
                </c:pt>
                <c:pt idx="27">
                  <c:v>44810</c:v>
                </c:pt>
                <c:pt idx="28">
                  <c:v>44811</c:v>
                </c:pt>
                <c:pt idx="29">
                  <c:v>44812</c:v>
                </c:pt>
                <c:pt idx="30">
                  <c:v>44813</c:v>
                </c:pt>
                <c:pt idx="31">
                  <c:v>44816</c:v>
                </c:pt>
                <c:pt idx="32">
                  <c:v>44817</c:v>
                </c:pt>
                <c:pt idx="33">
                  <c:v>44818</c:v>
                </c:pt>
                <c:pt idx="34">
                  <c:v>44819</c:v>
                </c:pt>
                <c:pt idx="35">
                  <c:v>44820</c:v>
                </c:pt>
                <c:pt idx="36">
                  <c:v>44823</c:v>
                </c:pt>
                <c:pt idx="37">
                  <c:v>44824</c:v>
                </c:pt>
                <c:pt idx="38">
                  <c:v>44825</c:v>
                </c:pt>
                <c:pt idx="39">
                  <c:v>44826</c:v>
                </c:pt>
                <c:pt idx="40">
                  <c:v>44827</c:v>
                </c:pt>
                <c:pt idx="41">
                  <c:v>44830</c:v>
                </c:pt>
                <c:pt idx="42">
                  <c:v>44831</c:v>
                </c:pt>
                <c:pt idx="43">
                  <c:v>44832</c:v>
                </c:pt>
                <c:pt idx="44">
                  <c:v>44833</c:v>
                </c:pt>
                <c:pt idx="45">
                  <c:v>44834</c:v>
                </c:pt>
                <c:pt idx="46">
                  <c:v>44837</c:v>
                </c:pt>
                <c:pt idx="47">
                  <c:v>44838</c:v>
                </c:pt>
                <c:pt idx="48">
                  <c:v>44839</c:v>
                </c:pt>
                <c:pt idx="49">
                  <c:v>44840</c:v>
                </c:pt>
                <c:pt idx="50">
                  <c:v>44841</c:v>
                </c:pt>
                <c:pt idx="51">
                  <c:v>44844</c:v>
                </c:pt>
                <c:pt idx="52">
                  <c:v>44845</c:v>
                </c:pt>
                <c:pt idx="53">
                  <c:v>44846</c:v>
                </c:pt>
                <c:pt idx="54">
                  <c:v>44847</c:v>
                </c:pt>
                <c:pt idx="55">
                  <c:v>44848</c:v>
                </c:pt>
                <c:pt idx="56">
                  <c:v>44851</c:v>
                </c:pt>
                <c:pt idx="57">
                  <c:v>44852</c:v>
                </c:pt>
                <c:pt idx="58">
                  <c:v>44853</c:v>
                </c:pt>
                <c:pt idx="59">
                  <c:v>44854</c:v>
                </c:pt>
                <c:pt idx="60">
                  <c:v>44855</c:v>
                </c:pt>
                <c:pt idx="61">
                  <c:v>44858</c:v>
                </c:pt>
                <c:pt idx="62">
                  <c:v>44859</c:v>
                </c:pt>
                <c:pt idx="63">
                  <c:v>44860</c:v>
                </c:pt>
                <c:pt idx="64">
                  <c:v>44861</c:v>
                </c:pt>
                <c:pt idx="65">
                  <c:v>44862</c:v>
                </c:pt>
                <c:pt idx="66">
                  <c:v>44865</c:v>
                </c:pt>
                <c:pt idx="67">
                  <c:v>44866</c:v>
                </c:pt>
                <c:pt idx="68">
                  <c:v>44867</c:v>
                </c:pt>
                <c:pt idx="69">
                  <c:v>44868</c:v>
                </c:pt>
                <c:pt idx="70">
                  <c:v>44869</c:v>
                </c:pt>
                <c:pt idx="71">
                  <c:v>44872</c:v>
                </c:pt>
                <c:pt idx="72">
                  <c:v>44873</c:v>
                </c:pt>
                <c:pt idx="73">
                  <c:v>44874</c:v>
                </c:pt>
                <c:pt idx="74">
                  <c:v>44875</c:v>
                </c:pt>
                <c:pt idx="75">
                  <c:v>44876</c:v>
                </c:pt>
                <c:pt idx="76">
                  <c:v>44879</c:v>
                </c:pt>
                <c:pt idx="77">
                  <c:v>44880</c:v>
                </c:pt>
                <c:pt idx="78">
                  <c:v>44881</c:v>
                </c:pt>
                <c:pt idx="79">
                  <c:v>44882</c:v>
                </c:pt>
                <c:pt idx="80">
                  <c:v>44883</c:v>
                </c:pt>
                <c:pt idx="81">
                  <c:v>44886</c:v>
                </c:pt>
                <c:pt idx="82">
                  <c:v>44887</c:v>
                </c:pt>
                <c:pt idx="83">
                  <c:v>44888</c:v>
                </c:pt>
                <c:pt idx="84">
                  <c:v>44890</c:v>
                </c:pt>
                <c:pt idx="85">
                  <c:v>44893</c:v>
                </c:pt>
                <c:pt idx="86">
                  <c:v>44894</c:v>
                </c:pt>
                <c:pt idx="87">
                  <c:v>44895</c:v>
                </c:pt>
                <c:pt idx="88">
                  <c:v>44896</c:v>
                </c:pt>
                <c:pt idx="89">
                  <c:v>44897</c:v>
                </c:pt>
                <c:pt idx="90">
                  <c:v>44900</c:v>
                </c:pt>
                <c:pt idx="91">
                  <c:v>44901</c:v>
                </c:pt>
                <c:pt idx="92">
                  <c:v>44902</c:v>
                </c:pt>
                <c:pt idx="93">
                  <c:v>44903</c:v>
                </c:pt>
                <c:pt idx="94">
                  <c:v>44904</c:v>
                </c:pt>
                <c:pt idx="95">
                  <c:v>44907</c:v>
                </c:pt>
                <c:pt idx="96">
                  <c:v>44908</c:v>
                </c:pt>
                <c:pt idx="97">
                  <c:v>44909</c:v>
                </c:pt>
                <c:pt idx="98">
                  <c:v>44910</c:v>
                </c:pt>
                <c:pt idx="99">
                  <c:v>44911</c:v>
                </c:pt>
                <c:pt idx="100">
                  <c:v>44914</c:v>
                </c:pt>
                <c:pt idx="101">
                  <c:v>44915</c:v>
                </c:pt>
                <c:pt idx="102">
                  <c:v>44916</c:v>
                </c:pt>
                <c:pt idx="103">
                  <c:v>44917</c:v>
                </c:pt>
                <c:pt idx="104">
                  <c:v>44918</c:v>
                </c:pt>
                <c:pt idx="105">
                  <c:v>44922</c:v>
                </c:pt>
                <c:pt idx="106">
                  <c:v>44923</c:v>
                </c:pt>
                <c:pt idx="107">
                  <c:v>44924</c:v>
                </c:pt>
                <c:pt idx="108">
                  <c:v>44925</c:v>
                </c:pt>
                <c:pt idx="109">
                  <c:v>44929</c:v>
                </c:pt>
                <c:pt idx="110">
                  <c:v>44930</c:v>
                </c:pt>
                <c:pt idx="111">
                  <c:v>44931</c:v>
                </c:pt>
                <c:pt idx="112">
                  <c:v>44932</c:v>
                </c:pt>
                <c:pt idx="113">
                  <c:v>44935</c:v>
                </c:pt>
                <c:pt idx="114">
                  <c:v>44936</c:v>
                </c:pt>
                <c:pt idx="115">
                  <c:v>44937</c:v>
                </c:pt>
                <c:pt idx="116">
                  <c:v>44938</c:v>
                </c:pt>
                <c:pt idx="117">
                  <c:v>44939</c:v>
                </c:pt>
                <c:pt idx="118">
                  <c:v>44943</c:v>
                </c:pt>
                <c:pt idx="119">
                  <c:v>44944</c:v>
                </c:pt>
                <c:pt idx="120">
                  <c:v>44945</c:v>
                </c:pt>
                <c:pt idx="121">
                  <c:v>44946</c:v>
                </c:pt>
                <c:pt idx="122">
                  <c:v>44949</c:v>
                </c:pt>
                <c:pt idx="123">
                  <c:v>44950</c:v>
                </c:pt>
                <c:pt idx="124">
                  <c:v>44951</c:v>
                </c:pt>
                <c:pt idx="125">
                  <c:v>44952</c:v>
                </c:pt>
                <c:pt idx="126">
                  <c:v>44953</c:v>
                </c:pt>
                <c:pt idx="127">
                  <c:v>44956</c:v>
                </c:pt>
                <c:pt idx="128">
                  <c:v>44957</c:v>
                </c:pt>
                <c:pt idx="129">
                  <c:v>44958</c:v>
                </c:pt>
                <c:pt idx="130">
                  <c:v>44959</c:v>
                </c:pt>
                <c:pt idx="131">
                  <c:v>44960</c:v>
                </c:pt>
                <c:pt idx="132">
                  <c:v>44963</c:v>
                </c:pt>
                <c:pt idx="133">
                  <c:v>44964</c:v>
                </c:pt>
                <c:pt idx="134">
                  <c:v>44965</c:v>
                </c:pt>
                <c:pt idx="135">
                  <c:v>44966</c:v>
                </c:pt>
                <c:pt idx="136">
                  <c:v>44967</c:v>
                </c:pt>
                <c:pt idx="137">
                  <c:v>44970</c:v>
                </c:pt>
                <c:pt idx="138">
                  <c:v>44971</c:v>
                </c:pt>
                <c:pt idx="139">
                  <c:v>44972</c:v>
                </c:pt>
                <c:pt idx="140">
                  <c:v>44973</c:v>
                </c:pt>
                <c:pt idx="141">
                  <c:v>44974</c:v>
                </c:pt>
                <c:pt idx="142">
                  <c:v>44978</c:v>
                </c:pt>
                <c:pt idx="143">
                  <c:v>44979</c:v>
                </c:pt>
                <c:pt idx="144">
                  <c:v>44980</c:v>
                </c:pt>
                <c:pt idx="145">
                  <c:v>44981</c:v>
                </c:pt>
                <c:pt idx="146">
                  <c:v>44984</c:v>
                </c:pt>
                <c:pt idx="147">
                  <c:v>44985</c:v>
                </c:pt>
                <c:pt idx="148">
                  <c:v>44986</c:v>
                </c:pt>
                <c:pt idx="149">
                  <c:v>44987</c:v>
                </c:pt>
                <c:pt idx="150">
                  <c:v>44988</c:v>
                </c:pt>
                <c:pt idx="151">
                  <c:v>44991</c:v>
                </c:pt>
                <c:pt idx="152">
                  <c:v>44992</c:v>
                </c:pt>
                <c:pt idx="153">
                  <c:v>44993</c:v>
                </c:pt>
                <c:pt idx="154">
                  <c:v>44994</c:v>
                </c:pt>
                <c:pt idx="155">
                  <c:v>44995</c:v>
                </c:pt>
                <c:pt idx="156">
                  <c:v>44998</c:v>
                </c:pt>
                <c:pt idx="157">
                  <c:v>44999</c:v>
                </c:pt>
                <c:pt idx="158">
                  <c:v>45000</c:v>
                </c:pt>
                <c:pt idx="159">
                  <c:v>45001</c:v>
                </c:pt>
                <c:pt idx="160">
                  <c:v>45002</c:v>
                </c:pt>
                <c:pt idx="161">
                  <c:v>45005</c:v>
                </c:pt>
                <c:pt idx="162">
                  <c:v>45006</c:v>
                </c:pt>
                <c:pt idx="163">
                  <c:v>45007</c:v>
                </c:pt>
                <c:pt idx="164">
                  <c:v>45008</c:v>
                </c:pt>
                <c:pt idx="165">
                  <c:v>45009</c:v>
                </c:pt>
                <c:pt idx="166">
                  <c:v>45012</c:v>
                </c:pt>
                <c:pt idx="167">
                  <c:v>45013</c:v>
                </c:pt>
                <c:pt idx="168">
                  <c:v>45014</c:v>
                </c:pt>
                <c:pt idx="169">
                  <c:v>45015</c:v>
                </c:pt>
                <c:pt idx="170">
                  <c:v>45016</c:v>
                </c:pt>
                <c:pt idx="171">
                  <c:v>45019</c:v>
                </c:pt>
                <c:pt idx="172">
                  <c:v>45020</c:v>
                </c:pt>
                <c:pt idx="173">
                  <c:v>45021</c:v>
                </c:pt>
                <c:pt idx="174">
                  <c:v>45022</c:v>
                </c:pt>
                <c:pt idx="175">
                  <c:v>45026</c:v>
                </c:pt>
                <c:pt idx="176">
                  <c:v>45027</c:v>
                </c:pt>
                <c:pt idx="177">
                  <c:v>45028</c:v>
                </c:pt>
                <c:pt idx="178">
                  <c:v>45029</c:v>
                </c:pt>
                <c:pt idx="179">
                  <c:v>45030</c:v>
                </c:pt>
                <c:pt idx="180">
                  <c:v>45033</c:v>
                </c:pt>
                <c:pt idx="181">
                  <c:v>45034</c:v>
                </c:pt>
                <c:pt idx="182">
                  <c:v>45035</c:v>
                </c:pt>
                <c:pt idx="183">
                  <c:v>45036</c:v>
                </c:pt>
                <c:pt idx="184">
                  <c:v>45037</c:v>
                </c:pt>
                <c:pt idx="185">
                  <c:v>45040</c:v>
                </c:pt>
                <c:pt idx="186">
                  <c:v>45041</c:v>
                </c:pt>
                <c:pt idx="187">
                  <c:v>45042</c:v>
                </c:pt>
                <c:pt idx="188">
                  <c:v>45043</c:v>
                </c:pt>
                <c:pt idx="189">
                  <c:v>45044</c:v>
                </c:pt>
                <c:pt idx="190">
                  <c:v>45047</c:v>
                </c:pt>
                <c:pt idx="191">
                  <c:v>45048</c:v>
                </c:pt>
                <c:pt idx="192">
                  <c:v>45049</c:v>
                </c:pt>
                <c:pt idx="193">
                  <c:v>45050</c:v>
                </c:pt>
                <c:pt idx="194">
                  <c:v>45051</c:v>
                </c:pt>
                <c:pt idx="195">
                  <c:v>45054</c:v>
                </c:pt>
                <c:pt idx="196">
                  <c:v>45055</c:v>
                </c:pt>
                <c:pt idx="197">
                  <c:v>45056</c:v>
                </c:pt>
                <c:pt idx="198">
                  <c:v>45057</c:v>
                </c:pt>
                <c:pt idx="199">
                  <c:v>45058</c:v>
                </c:pt>
                <c:pt idx="200">
                  <c:v>45061</c:v>
                </c:pt>
                <c:pt idx="201">
                  <c:v>45062</c:v>
                </c:pt>
                <c:pt idx="202">
                  <c:v>45063</c:v>
                </c:pt>
                <c:pt idx="203">
                  <c:v>45064</c:v>
                </c:pt>
                <c:pt idx="204">
                  <c:v>45065</c:v>
                </c:pt>
                <c:pt idx="205">
                  <c:v>45068</c:v>
                </c:pt>
                <c:pt idx="206">
                  <c:v>45069</c:v>
                </c:pt>
                <c:pt idx="207">
                  <c:v>45070</c:v>
                </c:pt>
                <c:pt idx="208">
                  <c:v>45071</c:v>
                </c:pt>
                <c:pt idx="209">
                  <c:v>45072</c:v>
                </c:pt>
                <c:pt idx="210">
                  <c:v>45076</c:v>
                </c:pt>
                <c:pt idx="211">
                  <c:v>45077</c:v>
                </c:pt>
                <c:pt idx="212">
                  <c:v>45078</c:v>
                </c:pt>
                <c:pt idx="213">
                  <c:v>45079</c:v>
                </c:pt>
                <c:pt idx="214">
                  <c:v>45082</c:v>
                </c:pt>
                <c:pt idx="215">
                  <c:v>45083</c:v>
                </c:pt>
                <c:pt idx="216">
                  <c:v>45084</c:v>
                </c:pt>
                <c:pt idx="217">
                  <c:v>45085</c:v>
                </c:pt>
                <c:pt idx="218">
                  <c:v>45086</c:v>
                </c:pt>
                <c:pt idx="219">
                  <c:v>45089</c:v>
                </c:pt>
                <c:pt idx="220">
                  <c:v>45090</c:v>
                </c:pt>
                <c:pt idx="221">
                  <c:v>45091</c:v>
                </c:pt>
                <c:pt idx="222">
                  <c:v>45092</c:v>
                </c:pt>
                <c:pt idx="223">
                  <c:v>45093</c:v>
                </c:pt>
                <c:pt idx="224">
                  <c:v>45097</c:v>
                </c:pt>
                <c:pt idx="225">
                  <c:v>45098</c:v>
                </c:pt>
                <c:pt idx="226">
                  <c:v>45099</c:v>
                </c:pt>
                <c:pt idx="227">
                  <c:v>45100</c:v>
                </c:pt>
                <c:pt idx="228">
                  <c:v>45103</c:v>
                </c:pt>
                <c:pt idx="229">
                  <c:v>45104</c:v>
                </c:pt>
                <c:pt idx="230">
                  <c:v>45105</c:v>
                </c:pt>
                <c:pt idx="231">
                  <c:v>45106</c:v>
                </c:pt>
                <c:pt idx="232">
                  <c:v>45107</c:v>
                </c:pt>
                <c:pt idx="233">
                  <c:v>45110</c:v>
                </c:pt>
                <c:pt idx="234">
                  <c:v>45112</c:v>
                </c:pt>
                <c:pt idx="235">
                  <c:v>45113</c:v>
                </c:pt>
                <c:pt idx="236">
                  <c:v>45114</c:v>
                </c:pt>
                <c:pt idx="237">
                  <c:v>45117</c:v>
                </c:pt>
                <c:pt idx="238">
                  <c:v>45118</c:v>
                </c:pt>
                <c:pt idx="239">
                  <c:v>45119</c:v>
                </c:pt>
                <c:pt idx="240">
                  <c:v>45120</c:v>
                </c:pt>
                <c:pt idx="241">
                  <c:v>45121</c:v>
                </c:pt>
                <c:pt idx="242">
                  <c:v>45124</c:v>
                </c:pt>
                <c:pt idx="243">
                  <c:v>45125</c:v>
                </c:pt>
                <c:pt idx="244">
                  <c:v>45126</c:v>
                </c:pt>
                <c:pt idx="245">
                  <c:v>45127</c:v>
                </c:pt>
                <c:pt idx="246">
                  <c:v>45128</c:v>
                </c:pt>
                <c:pt idx="247">
                  <c:v>45131</c:v>
                </c:pt>
                <c:pt idx="248">
                  <c:v>45132</c:v>
                </c:pt>
                <c:pt idx="249">
                  <c:v>45133</c:v>
                </c:pt>
                <c:pt idx="250">
                  <c:v>45134</c:v>
                </c:pt>
                <c:pt idx="251">
                  <c:v>45135</c:v>
                </c:pt>
                <c:pt idx="252">
                  <c:v>45138</c:v>
                </c:pt>
                <c:pt idx="253">
                  <c:v>45139</c:v>
                </c:pt>
                <c:pt idx="254">
                  <c:v>45140</c:v>
                </c:pt>
                <c:pt idx="255">
                  <c:v>45141</c:v>
                </c:pt>
                <c:pt idx="256">
                  <c:v>45142</c:v>
                </c:pt>
                <c:pt idx="257">
                  <c:v>45145</c:v>
                </c:pt>
                <c:pt idx="258">
                  <c:v>45146</c:v>
                </c:pt>
                <c:pt idx="259">
                  <c:v>45147</c:v>
                </c:pt>
                <c:pt idx="260">
                  <c:v>45148</c:v>
                </c:pt>
                <c:pt idx="261">
                  <c:v>45149</c:v>
                </c:pt>
                <c:pt idx="262">
                  <c:v>45152</c:v>
                </c:pt>
                <c:pt idx="263">
                  <c:v>45153</c:v>
                </c:pt>
                <c:pt idx="264">
                  <c:v>45154</c:v>
                </c:pt>
                <c:pt idx="265">
                  <c:v>45155</c:v>
                </c:pt>
                <c:pt idx="266">
                  <c:v>45156</c:v>
                </c:pt>
                <c:pt idx="267">
                  <c:v>45159</c:v>
                </c:pt>
                <c:pt idx="268">
                  <c:v>45160</c:v>
                </c:pt>
                <c:pt idx="269">
                  <c:v>45161</c:v>
                </c:pt>
                <c:pt idx="270">
                  <c:v>45162</c:v>
                </c:pt>
                <c:pt idx="271">
                  <c:v>45163</c:v>
                </c:pt>
                <c:pt idx="272">
                  <c:v>45166</c:v>
                </c:pt>
                <c:pt idx="273">
                  <c:v>45167</c:v>
                </c:pt>
                <c:pt idx="274">
                  <c:v>45168</c:v>
                </c:pt>
                <c:pt idx="275">
                  <c:v>45169</c:v>
                </c:pt>
                <c:pt idx="276">
                  <c:v>45170</c:v>
                </c:pt>
                <c:pt idx="277">
                  <c:v>45174</c:v>
                </c:pt>
                <c:pt idx="278">
                  <c:v>45175</c:v>
                </c:pt>
                <c:pt idx="279">
                  <c:v>45176</c:v>
                </c:pt>
                <c:pt idx="280">
                  <c:v>45177</c:v>
                </c:pt>
                <c:pt idx="281">
                  <c:v>45180</c:v>
                </c:pt>
                <c:pt idx="282">
                  <c:v>45181</c:v>
                </c:pt>
                <c:pt idx="283">
                  <c:v>45182</c:v>
                </c:pt>
                <c:pt idx="284">
                  <c:v>45183</c:v>
                </c:pt>
                <c:pt idx="285">
                  <c:v>45184</c:v>
                </c:pt>
                <c:pt idx="286">
                  <c:v>45187</c:v>
                </c:pt>
                <c:pt idx="287">
                  <c:v>45188</c:v>
                </c:pt>
                <c:pt idx="288">
                  <c:v>45189</c:v>
                </c:pt>
                <c:pt idx="289">
                  <c:v>45190</c:v>
                </c:pt>
                <c:pt idx="290">
                  <c:v>45191</c:v>
                </c:pt>
                <c:pt idx="291">
                  <c:v>45194</c:v>
                </c:pt>
                <c:pt idx="292">
                  <c:v>45195</c:v>
                </c:pt>
                <c:pt idx="293">
                  <c:v>45196</c:v>
                </c:pt>
                <c:pt idx="294">
                  <c:v>45197</c:v>
                </c:pt>
                <c:pt idx="295">
                  <c:v>45198</c:v>
                </c:pt>
                <c:pt idx="296">
                  <c:v>45201</c:v>
                </c:pt>
                <c:pt idx="297">
                  <c:v>45202</c:v>
                </c:pt>
                <c:pt idx="298">
                  <c:v>45203</c:v>
                </c:pt>
                <c:pt idx="299">
                  <c:v>45204</c:v>
                </c:pt>
                <c:pt idx="300">
                  <c:v>45205</c:v>
                </c:pt>
                <c:pt idx="301">
                  <c:v>45208</c:v>
                </c:pt>
                <c:pt idx="302">
                  <c:v>45209</c:v>
                </c:pt>
                <c:pt idx="303">
                  <c:v>45210</c:v>
                </c:pt>
                <c:pt idx="304">
                  <c:v>45211</c:v>
                </c:pt>
                <c:pt idx="305">
                  <c:v>45212</c:v>
                </c:pt>
                <c:pt idx="306">
                  <c:v>45215</c:v>
                </c:pt>
                <c:pt idx="307">
                  <c:v>45216</c:v>
                </c:pt>
                <c:pt idx="308">
                  <c:v>45217</c:v>
                </c:pt>
                <c:pt idx="309">
                  <c:v>45218</c:v>
                </c:pt>
                <c:pt idx="310">
                  <c:v>45219</c:v>
                </c:pt>
                <c:pt idx="311">
                  <c:v>45222</c:v>
                </c:pt>
                <c:pt idx="312">
                  <c:v>45223</c:v>
                </c:pt>
                <c:pt idx="313">
                  <c:v>45224</c:v>
                </c:pt>
                <c:pt idx="314">
                  <c:v>45225</c:v>
                </c:pt>
                <c:pt idx="315">
                  <c:v>45226</c:v>
                </c:pt>
                <c:pt idx="316">
                  <c:v>45229</c:v>
                </c:pt>
                <c:pt idx="317">
                  <c:v>45230</c:v>
                </c:pt>
                <c:pt idx="318">
                  <c:v>45231</c:v>
                </c:pt>
                <c:pt idx="319">
                  <c:v>45232</c:v>
                </c:pt>
                <c:pt idx="320">
                  <c:v>45233</c:v>
                </c:pt>
                <c:pt idx="321">
                  <c:v>45236</c:v>
                </c:pt>
                <c:pt idx="322">
                  <c:v>45237</c:v>
                </c:pt>
                <c:pt idx="323">
                  <c:v>45238</c:v>
                </c:pt>
                <c:pt idx="324">
                  <c:v>45239</c:v>
                </c:pt>
                <c:pt idx="325">
                  <c:v>45240</c:v>
                </c:pt>
                <c:pt idx="326">
                  <c:v>45243</c:v>
                </c:pt>
                <c:pt idx="327">
                  <c:v>45244</c:v>
                </c:pt>
                <c:pt idx="328">
                  <c:v>45245</c:v>
                </c:pt>
                <c:pt idx="329">
                  <c:v>45246</c:v>
                </c:pt>
                <c:pt idx="330">
                  <c:v>45247</c:v>
                </c:pt>
                <c:pt idx="331">
                  <c:v>45250</c:v>
                </c:pt>
                <c:pt idx="332">
                  <c:v>45251</c:v>
                </c:pt>
                <c:pt idx="333">
                  <c:v>45252</c:v>
                </c:pt>
                <c:pt idx="334">
                  <c:v>45254</c:v>
                </c:pt>
                <c:pt idx="335">
                  <c:v>45257</c:v>
                </c:pt>
                <c:pt idx="336">
                  <c:v>45258</c:v>
                </c:pt>
                <c:pt idx="337">
                  <c:v>45259</c:v>
                </c:pt>
                <c:pt idx="338">
                  <c:v>45260</c:v>
                </c:pt>
                <c:pt idx="339">
                  <c:v>45261</c:v>
                </c:pt>
                <c:pt idx="340">
                  <c:v>45264</c:v>
                </c:pt>
                <c:pt idx="341">
                  <c:v>45265</c:v>
                </c:pt>
                <c:pt idx="342">
                  <c:v>45266</c:v>
                </c:pt>
                <c:pt idx="343">
                  <c:v>45267</c:v>
                </c:pt>
                <c:pt idx="344">
                  <c:v>45268</c:v>
                </c:pt>
                <c:pt idx="345">
                  <c:v>45271</c:v>
                </c:pt>
                <c:pt idx="346">
                  <c:v>45272</c:v>
                </c:pt>
                <c:pt idx="347">
                  <c:v>45273</c:v>
                </c:pt>
                <c:pt idx="348">
                  <c:v>45274</c:v>
                </c:pt>
                <c:pt idx="349">
                  <c:v>45275</c:v>
                </c:pt>
                <c:pt idx="350">
                  <c:v>45278</c:v>
                </c:pt>
                <c:pt idx="351">
                  <c:v>45279</c:v>
                </c:pt>
                <c:pt idx="352">
                  <c:v>45280</c:v>
                </c:pt>
                <c:pt idx="353">
                  <c:v>45281</c:v>
                </c:pt>
                <c:pt idx="354">
                  <c:v>45282</c:v>
                </c:pt>
                <c:pt idx="355">
                  <c:v>45286</c:v>
                </c:pt>
                <c:pt idx="356">
                  <c:v>45287</c:v>
                </c:pt>
                <c:pt idx="357">
                  <c:v>45288</c:v>
                </c:pt>
                <c:pt idx="358">
                  <c:v>45289</c:v>
                </c:pt>
                <c:pt idx="359">
                  <c:v>45293</c:v>
                </c:pt>
                <c:pt idx="360">
                  <c:v>45294</c:v>
                </c:pt>
                <c:pt idx="361">
                  <c:v>45295</c:v>
                </c:pt>
                <c:pt idx="362">
                  <c:v>45296</c:v>
                </c:pt>
                <c:pt idx="363">
                  <c:v>45299</c:v>
                </c:pt>
                <c:pt idx="364">
                  <c:v>45300</c:v>
                </c:pt>
                <c:pt idx="365">
                  <c:v>45301</c:v>
                </c:pt>
                <c:pt idx="366">
                  <c:v>45302</c:v>
                </c:pt>
                <c:pt idx="367">
                  <c:v>45303</c:v>
                </c:pt>
                <c:pt idx="368">
                  <c:v>45307</c:v>
                </c:pt>
                <c:pt idx="369">
                  <c:v>45308</c:v>
                </c:pt>
                <c:pt idx="370">
                  <c:v>45309</c:v>
                </c:pt>
                <c:pt idx="371">
                  <c:v>45310</c:v>
                </c:pt>
                <c:pt idx="372">
                  <c:v>45313</c:v>
                </c:pt>
                <c:pt idx="373">
                  <c:v>45314</c:v>
                </c:pt>
                <c:pt idx="374">
                  <c:v>45315</c:v>
                </c:pt>
                <c:pt idx="375">
                  <c:v>45316</c:v>
                </c:pt>
                <c:pt idx="376">
                  <c:v>45317</c:v>
                </c:pt>
                <c:pt idx="377">
                  <c:v>45320</c:v>
                </c:pt>
                <c:pt idx="378">
                  <c:v>45321</c:v>
                </c:pt>
                <c:pt idx="379">
                  <c:v>45322</c:v>
                </c:pt>
                <c:pt idx="380">
                  <c:v>45323</c:v>
                </c:pt>
                <c:pt idx="381">
                  <c:v>45324</c:v>
                </c:pt>
                <c:pt idx="382">
                  <c:v>45327</c:v>
                </c:pt>
                <c:pt idx="383">
                  <c:v>45328</c:v>
                </c:pt>
                <c:pt idx="384">
                  <c:v>45329</c:v>
                </c:pt>
                <c:pt idx="385">
                  <c:v>45330</c:v>
                </c:pt>
                <c:pt idx="386">
                  <c:v>45331</c:v>
                </c:pt>
                <c:pt idx="387">
                  <c:v>45334</c:v>
                </c:pt>
                <c:pt idx="388">
                  <c:v>45335</c:v>
                </c:pt>
                <c:pt idx="389">
                  <c:v>45336</c:v>
                </c:pt>
                <c:pt idx="390">
                  <c:v>45337</c:v>
                </c:pt>
                <c:pt idx="391">
                  <c:v>45338</c:v>
                </c:pt>
                <c:pt idx="392">
                  <c:v>45342</c:v>
                </c:pt>
                <c:pt idx="393">
                  <c:v>45343</c:v>
                </c:pt>
                <c:pt idx="394">
                  <c:v>45344</c:v>
                </c:pt>
                <c:pt idx="395">
                  <c:v>45345</c:v>
                </c:pt>
                <c:pt idx="396">
                  <c:v>45348</c:v>
                </c:pt>
                <c:pt idx="397">
                  <c:v>45349</c:v>
                </c:pt>
                <c:pt idx="398">
                  <c:v>45350</c:v>
                </c:pt>
                <c:pt idx="399">
                  <c:v>45351</c:v>
                </c:pt>
                <c:pt idx="400">
                  <c:v>45352</c:v>
                </c:pt>
                <c:pt idx="401">
                  <c:v>45355</c:v>
                </c:pt>
                <c:pt idx="402">
                  <c:v>45356</c:v>
                </c:pt>
                <c:pt idx="403">
                  <c:v>45357</c:v>
                </c:pt>
                <c:pt idx="404">
                  <c:v>45358</c:v>
                </c:pt>
                <c:pt idx="405">
                  <c:v>45359</c:v>
                </c:pt>
                <c:pt idx="406">
                  <c:v>45362</c:v>
                </c:pt>
                <c:pt idx="407">
                  <c:v>45363</c:v>
                </c:pt>
                <c:pt idx="408">
                  <c:v>45364</c:v>
                </c:pt>
                <c:pt idx="409">
                  <c:v>45365</c:v>
                </c:pt>
                <c:pt idx="410">
                  <c:v>45366</c:v>
                </c:pt>
                <c:pt idx="411">
                  <c:v>45369</c:v>
                </c:pt>
                <c:pt idx="412">
                  <c:v>45370</c:v>
                </c:pt>
                <c:pt idx="413">
                  <c:v>45371</c:v>
                </c:pt>
                <c:pt idx="414">
                  <c:v>45372</c:v>
                </c:pt>
                <c:pt idx="415">
                  <c:v>45373</c:v>
                </c:pt>
                <c:pt idx="416">
                  <c:v>45376</c:v>
                </c:pt>
                <c:pt idx="417">
                  <c:v>45377</c:v>
                </c:pt>
                <c:pt idx="418">
                  <c:v>45378</c:v>
                </c:pt>
                <c:pt idx="419">
                  <c:v>45379</c:v>
                </c:pt>
                <c:pt idx="420">
                  <c:v>45383</c:v>
                </c:pt>
                <c:pt idx="421">
                  <c:v>45384</c:v>
                </c:pt>
                <c:pt idx="422">
                  <c:v>45385</c:v>
                </c:pt>
                <c:pt idx="423">
                  <c:v>45386</c:v>
                </c:pt>
                <c:pt idx="424">
                  <c:v>45387</c:v>
                </c:pt>
                <c:pt idx="425">
                  <c:v>45390</c:v>
                </c:pt>
                <c:pt idx="426">
                  <c:v>45391</c:v>
                </c:pt>
                <c:pt idx="427">
                  <c:v>45392</c:v>
                </c:pt>
                <c:pt idx="428">
                  <c:v>45393</c:v>
                </c:pt>
                <c:pt idx="429">
                  <c:v>45394</c:v>
                </c:pt>
                <c:pt idx="430">
                  <c:v>45397</c:v>
                </c:pt>
                <c:pt idx="431">
                  <c:v>45398</c:v>
                </c:pt>
                <c:pt idx="432">
                  <c:v>45399</c:v>
                </c:pt>
                <c:pt idx="433">
                  <c:v>45400</c:v>
                </c:pt>
                <c:pt idx="434">
                  <c:v>45401</c:v>
                </c:pt>
                <c:pt idx="435">
                  <c:v>45404</c:v>
                </c:pt>
                <c:pt idx="436">
                  <c:v>45405</c:v>
                </c:pt>
                <c:pt idx="437">
                  <c:v>45406</c:v>
                </c:pt>
                <c:pt idx="438">
                  <c:v>45407</c:v>
                </c:pt>
                <c:pt idx="439">
                  <c:v>45408</c:v>
                </c:pt>
                <c:pt idx="440">
                  <c:v>45411</c:v>
                </c:pt>
                <c:pt idx="441">
                  <c:v>45412</c:v>
                </c:pt>
                <c:pt idx="442">
                  <c:v>45413</c:v>
                </c:pt>
                <c:pt idx="443">
                  <c:v>45414</c:v>
                </c:pt>
                <c:pt idx="444">
                  <c:v>45415</c:v>
                </c:pt>
                <c:pt idx="445">
                  <c:v>45418</c:v>
                </c:pt>
                <c:pt idx="446">
                  <c:v>45419</c:v>
                </c:pt>
                <c:pt idx="447">
                  <c:v>45420</c:v>
                </c:pt>
                <c:pt idx="448">
                  <c:v>45421</c:v>
                </c:pt>
                <c:pt idx="449">
                  <c:v>45422</c:v>
                </c:pt>
                <c:pt idx="450">
                  <c:v>45425</c:v>
                </c:pt>
                <c:pt idx="451">
                  <c:v>45426</c:v>
                </c:pt>
                <c:pt idx="452">
                  <c:v>45427</c:v>
                </c:pt>
                <c:pt idx="453">
                  <c:v>45428</c:v>
                </c:pt>
                <c:pt idx="454">
                  <c:v>45429</c:v>
                </c:pt>
                <c:pt idx="455">
                  <c:v>45432</c:v>
                </c:pt>
                <c:pt idx="456">
                  <c:v>45433</c:v>
                </c:pt>
                <c:pt idx="457">
                  <c:v>45434</c:v>
                </c:pt>
                <c:pt idx="458">
                  <c:v>45435</c:v>
                </c:pt>
                <c:pt idx="459">
                  <c:v>45436</c:v>
                </c:pt>
                <c:pt idx="460">
                  <c:v>45440</c:v>
                </c:pt>
                <c:pt idx="461">
                  <c:v>45441</c:v>
                </c:pt>
                <c:pt idx="462">
                  <c:v>45442</c:v>
                </c:pt>
                <c:pt idx="463">
                  <c:v>45443</c:v>
                </c:pt>
                <c:pt idx="464">
                  <c:v>45446</c:v>
                </c:pt>
                <c:pt idx="465">
                  <c:v>45447</c:v>
                </c:pt>
                <c:pt idx="466">
                  <c:v>45448</c:v>
                </c:pt>
                <c:pt idx="467">
                  <c:v>45449</c:v>
                </c:pt>
                <c:pt idx="468">
                  <c:v>45450</c:v>
                </c:pt>
                <c:pt idx="469">
                  <c:v>45453</c:v>
                </c:pt>
                <c:pt idx="470">
                  <c:v>45454</c:v>
                </c:pt>
                <c:pt idx="471">
                  <c:v>45455</c:v>
                </c:pt>
                <c:pt idx="472">
                  <c:v>45456</c:v>
                </c:pt>
                <c:pt idx="473">
                  <c:v>45457</c:v>
                </c:pt>
                <c:pt idx="474">
                  <c:v>45460</c:v>
                </c:pt>
                <c:pt idx="475">
                  <c:v>45461</c:v>
                </c:pt>
                <c:pt idx="476">
                  <c:v>45463</c:v>
                </c:pt>
                <c:pt idx="477">
                  <c:v>45464</c:v>
                </c:pt>
                <c:pt idx="478">
                  <c:v>45467</c:v>
                </c:pt>
                <c:pt idx="479">
                  <c:v>45468</c:v>
                </c:pt>
                <c:pt idx="480">
                  <c:v>45469</c:v>
                </c:pt>
                <c:pt idx="481">
                  <c:v>45470</c:v>
                </c:pt>
                <c:pt idx="482">
                  <c:v>45471</c:v>
                </c:pt>
                <c:pt idx="483">
                  <c:v>45474</c:v>
                </c:pt>
                <c:pt idx="484">
                  <c:v>45475</c:v>
                </c:pt>
                <c:pt idx="485">
                  <c:v>45476</c:v>
                </c:pt>
                <c:pt idx="486">
                  <c:v>45478</c:v>
                </c:pt>
                <c:pt idx="487">
                  <c:v>45481</c:v>
                </c:pt>
                <c:pt idx="488">
                  <c:v>45482</c:v>
                </c:pt>
                <c:pt idx="489">
                  <c:v>45483</c:v>
                </c:pt>
                <c:pt idx="490">
                  <c:v>45484</c:v>
                </c:pt>
                <c:pt idx="491">
                  <c:v>45485</c:v>
                </c:pt>
                <c:pt idx="492">
                  <c:v>45488</c:v>
                </c:pt>
                <c:pt idx="493">
                  <c:v>45489</c:v>
                </c:pt>
                <c:pt idx="494">
                  <c:v>45490</c:v>
                </c:pt>
                <c:pt idx="495">
                  <c:v>45491</c:v>
                </c:pt>
                <c:pt idx="496">
                  <c:v>45492</c:v>
                </c:pt>
                <c:pt idx="497">
                  <c:v>45495</c:v>
                </c:pt>
                <c:pt idx="498">
                  <c:v>45496</c:v>
                </c:pt>
                <c:pt idx="499">
                  <c:v>45497</c:v>
                </c:pt>
                <c:pt idx="500">
                  <c:v>45498</c:v>
                </c:pt>
                <c:pt idx="501">
                  <c:v>45499</c:v>
                </c:pt>
                <c:pt idx="502">
                  <c:v>45502</c:v>
                </c:pt>
                <c:pt idx="503">
                  <c:v>45503</c:v>
                </c:pt>
                <c:pt idx="504">
                  <c:v>45504</c:v>
                </c:pt>
                <c:pt idx="505">
                  <c:v>45505</c:v>
                </c:pt>
                <c:pt idx="506">
                  <c:v>45506</c:v>
                </c:pt>
                <c:pt idx="507">
                  <c:v>45509</c:v>
                </c:pt>
                <c:pt idx="508">
                  <c:v>45510</c:v>
                </c:pt>
                <c:pt idx="509">
                  <c:v>45511</c:v>
                </c:pt>
                <c:pt idx="510">
                  <c:v>45512</c:v>
                </c:pt>
                <c:pt idx="511">
                  <c:v>45513</c:v>
                </c:pt>
                <c:pt idx="512">
                  <c:v>45516</c:v>
                </c:pt>
                <c:pt idx="513">
                  <c:v>45517</c:v>
                </c:pt>
                <c:pt idx="514">
                  <c:v>45518</c:v>
                </c:pt>
                <c:pt idx="515">
                  <c:v>45519</c:v>
                </c:pt>
                <c:pt idx="516">
                  <c:v>45520</c:v>
                </c:pt>
                <c:pt idx="517">
                  <c:v>45523</c:v>
                </c:pt>
                <c:pt idx="518">
                  <c:v>45524</c:v>
                </c:pt>
                <c:pt idx="519">
                  <c:v>45525</c:v>
                </c:pt>
                <c:pt idx="520">
                  <c:v>45526</c:v>
                </c:pt>
                <c:pt idx="521">
                  <c:v>45527</c:v>
                </c:pt>
                <c:pt idx="522">
                  <c:v>45530</c:v>
                </c:pt>
                <c:pt idx="523">
                  <c:v>45531</c:v>
                </c:pt>
                <c:pt idx="524">
                  <c:v>45532</c:v>
                </c:pt>
                <c:pt idx="525">
                  <c:v>45533</c:v>
                </c:pt>
                <c:pt idx="526">
                  <c:v>45534</c:v>
                </c:pt>
                <c:pt idx="527">
                  <c:v>45538</c:v>
                </c:pt>
                <c:pt idx="528">
                  <c:v>45539</c:v>
                </c:pt>
                <c:pt idx="529">
                  <c:v>45540</c:v>
                </c:pt>
                <c:pt idx="530">
                  <c:v>45541</c:v>
                </c:pt>
                <c:pt idx="531">
                  <c:v>45544</c:v>
                </c:pt>
                <c:pt idx="532">
                  <c:v>45545</c:v>
                </c:pt>
                <c:pt idx="533">
                  <c:v>45546</c:v>
                </c:pt>
                <c:pt idx="534">
                  <c:v>45547</c:v>
                </c:pt>
                <c:pt idx="535">
                  <c:v>45548</c:v>
                </c:pt>
                <c:pt idx="536">
                  <c:v>45551</c:v>
                </c:pt>
                <c:pt idx="537">
                  <c:v>45552</c:v>
                </c:pt>
                <c:pt idx="538">
                  <c:v>45553</c:v>
                </c:pt>
                <c:pt idx="539">
                  <c:v>45554</c:v>
                </c:pt>
                <c:pt idx="540">
                  <c:v>45555</c:v>
                </c:pt>
                <c:pt idx="541">
                  <c:v>45558</c:v>
                </c:pt>
                <c:pt idx="542">
                  <c:v>45559</c:v>
                </c:pt>
                <c:pt idx="543">
                  <c:v>45560</c:v>
                </c:pt>
                <c:pt idx="544">
                  <c:v>45561</c:v>
                </c:pt>
                <c:pt idx="545">
                  <c:v>45562</c:v>
                </c:pt>
                <c:pt idx="546">
                  <c:v>45565</c:v>
                </c:pt>
                <c:pt idx="547">
                  <c:v>45566</c:v>
                </c:pt>
                <c:pt idx="548">
                  <c:v>45567</c:v>
                </c:pt>
                <c:pt idx="549">
                  <c:v>45568</c:v>
                </c:pt>
                <c:pt idx="550">
                  <c:v>45569</c:v>
                </c:pt>
                <c:pt idx="551">
                  <c:v>45572</c:v>
                </c:pt>
                <c:pt idx="552">
                  <c:v>45573</c:v>
                </c:pt>
                <c:pt idx="553">
                  <c:v>45574</c:v>
                </c:pt>
                <c:pt idx="554">
                  <c:v>45575</c:v>
                </c:pt>
                <c:pt idx="555">
                  <c:v>45576</c:v>
                </c:pt>
                <c:pt idx="556">
                  <c:v>45579</c:v>
                </c:pt>
                <c:pt idx="557">
                  <c:v>45580</c:v>
                </c:pt>
                <c:pt idx="558">
                  <c:v>45581</c:v>
                </c:pt>
                <c:pt idx="559">
                  <c:v>45582</c:v>
                </c:pt>
                <c:pt idx="560">
                  <c:v>45583</c:v>
                </c:pt>
                <c:pt idx="561">
                  <c:v>45586</c:v>
                </c:pt>
                <c:pt idx="562">
                  <c:v>45587</c:v>
                </c:pt>
                <c:pt idx="563">
                  <c:v>45588</c:v>
                </c:pt>
                <c:pt idx="564">
                  <c:v>45589</c:v>
                </c:pt>
                <c:pt idx="565">
                  <c:v>45590</c:v>
                </c:pt>
                <c:pt idx="566">
                  <c:v>45593</c:v>
                </c:pt>
                <c:pt idx="567">
                  <c:v>45594</c:v>
                </c:pt>
                <c:pt idx="568">
                  <c:v>45595</c:v>
                </c:pt>
                <c:pt idx="569">
                  <c:v>45596</c:v>
                </c:pt>
                <c:pt idx="570">
                  <c:v>45597</c:v>
                </c:pt>
                <c:pt idx="571">
                  <c:v>45600</c:v>
                </c:pt>
                <c:pt idx="572">
                  <c:v>45601</c:v>
                </c:pt>
                <c:pt idx="573">
                  <c:v>45602</c:v>
                </c:pt>
                <c:pt idx="574">
                  <c:v>45603</c:v>
                </c:pt>
                <c:pt idx="575">
                  <c:v>45604</c:v>
                </c:pt>
                <c:pt idx="576">
                  <c:v>45607</c:v>
                </c:pt>
                <c:pt idx="577">
                  <c:v>45608</c:v>
                </c:pt>
                <c:pt idx="578">
                  <c:v>45609</c:v>
                </c:pt>
                <c:pt idx="579">
                  <c:v>45610</c:v>
                </c:pt>
                <c:pt idx="580">
                  <c:v>45611</c:v>
                </c:pt>
                <c:pt idx="581">
                  <c:v>45614</c:v>
                </c:pt>
                <c:pt idx="582">
                  <c:v>45615</c:v>
                </c:pt>
                <c:pt idx="583">
                  <c:v>45616</c:v>
                </c:pt>
                <c:pt idx="584">
                  <c:v>45617</c:v>
                </c:pt>
                <c:pt idx="585">
                  <c:v>45618</c:v>
                </c:pt>
                <c:pt idx="586">
                  <c:v>45621</c:v>
                </c:pt>
                <c:pt idx="587">
                  <c:v>45622</c:v>
                </c:pt>
                <c:pt idx="588">
                  <c:v>45623</c:v>
                </c:pt>
                <c:pt idx="589">
                  <c:v>45625</c:v>
                </c:pt>
                <c:pt idx="590">
                  <c:v>45628</c:v>
                </c:pt>
                <c:pt idx="591">
                  <c:v>45629</c:v>
                </c:pt>
                <c:pt idx="592">
                  <c:v>45630</c:v>
                </c:pt>
                <c:pt idx="593">
                  <c:v>45631</c:v>
                </c:pt>
                <c:pt idx="594">
                  <c:v>45632</c:v>
                </c:pt>
                <c:pt idx="595">
                  <c:v>45635</c:v>
                </c:pt>
                <c:pt idx="596">
                  <c:v>45636</c:v>
                </c:pt>
                <c:pt idx="597">
                  <c:v>45637</c:v>
                </c:pt>
                <c:pt idx="598">
                  <c:v>45638</c:v>
                </c:pt>
                <c:pt idx="599">
                  <c:v>45639</c:v>
                </c:pt>
                <c:pt idx="600">
                  <c:v>45642</c:v>
                </c:pt>
                <c:pt idx="601">
                  <c:v>45643</c:v>
                </c:pt>
                <c:pt idx="602">
                  <c:v>45644</c:v>
                </c:pt>
                <c:pt idx="603">
                  <c:v>45645</c:v>
                </c:pt>
                <c:pt idx="604">
                  <c:v>45646</c:v>
                </c:pt>
                <c:pt idx="605">
                  <c:v>45649</c:v>
                </c:pt>
                <c:pt idx="606">
                  <c:v>45650</c:v>
                </c:pt>
                <c:pt idx="607">
                  <c:v>45652</c:v>
                </c:pt>
                <c:pt idx="608">
                  <c:v>45653</c:v>
                </c:pt>
                <c:pt idx="609">
                  <c:v>45656</c:v>
                </c:pt>
                <c:pt idx="610">
                  <c:v>45657</c:v>
                </c:pt>
                <c:pt idx="611">
                  <c:v>45659</c:v>
                </c:pt>
                <c:pt idx="612">
                  <c:v>45660</c:v>
                </c:pt>
                <c:pt idx="613">
                  <c:v>45663</c:v>
                </c:pt>
                <c:pt idx="614">
                  <c:v>45664</c:v>
                </c:pt>
                <c:pt idx="615">
                  <c:v>45665</c:v>
                </c:pt>
                <c:pt idx="616">
                  <c:v>45667</c:v>
                </c:pt>
                <c:pt idx="617">
                  <c:v>45670</c:v>
                </c:pt>
                <c:pt idx="618">
                  <c:v>45671</c:v>
                </c:pt>
                <c:pt idx="619">
                  <c:v>45672</c:v>
                </c:pt>
                <c:pt idx="620">
                  <c:v>45673</c:v>
                </c:pt>
                <c:pt idx="621">
                  <c:v>45674</c:v>
                </c:pt>
                <c:pt idx="622">
                  <c:v>45678</c:v>
                </c:pt>
                <c:pt idx="623">
                  <c:v>45679</c:v>
                </c:pt>
                <c:pt idx="624">
                  <c:v>45680</c:v>
                </c:pt>
                <c:pt idx="625">
                  <c:v>45681</c:v>
                </c:pt>
                <c:pt idx="626">
                  <c:v>45684</c:v>
                </c:pt>
                <c:pt idx="627">
                  <c:v>45685</c:v>
                </c:pt>
                <c:pt idx="628">
                  <c:v>45686</c:v>
                </c:pt>
                <c:pt idx="629">
                  <c:v>45687</c:v>
                </c:pt>
                <c:pt idx="630">
                  <c:v>45688</c:v>
                </c:pt>
                <c:pt idx="631">
                  <c:v>45691</c:v>
                </c:pt>
                <c:pt idx="632">
                  <c:v>45692</c:v>
                </c:pt>
                <c:pt idx="633">
                  <c:v>45693</c:v>
                </c:pt>
                <c:pt idx="634">
                  <c:v>45694</c:v>
                </c:pt>
                <c:pt idx="635">
                  <c:v>45695</c:v>
                </c:pt>
                <c:pt idx="636">
                  <c:v>45698</c:v>
                </c:pt>
                <c:pt idx="637">
                  <c:v>45699</c:v>
                </c:pt>
                <c:pt idx="638">
                  <c:v>45700</c:v>
                </c:pt>
                <c:pt idx="639">
                  <c:v>45701</c:v>
                </c:pt>
                <c:pt idx="640">
                  <c:v>45702</c:v>
                </c:pt>
                <c:pt idx="641">
                  <c:v>45706</c:v>
                </c:pt>
                <c:pt idx="642">
                  <c:v>45707</c:v>
                </c:pt>
                <c:pt idx="643">
                  <c:v>45708</c:v>
                </c:pt>
                <c:pt idx="644">
                  <c:v>45709</c:v>
                </c:pt>
                <c:pt idx="645">
                  <c:v>45712</c:v>
                </c:pt>
                <c:pt idx="646">
                  <c:v>45713</c:v>
                </c:pt>
                <c:pt idx="647">
                  <c:v>45714</c:v>
                </c:pt>
                <c:pt idx="648">
                  <c:v>45715</c:v>
                </c:pt>
                <c:pt idx="649">
                  <c:v>45716</c:v>
                </c:pt>
                <c:pt idx="650">
                  <c:v>45719</c:v>
                </c:pt>
                <c:pt idx="651">
                  <c:v>45720</c:v>
                </c:pt>
                <c:pt idx="652">
                  <c:v>45721</c:v>
                </c:pt>
                <c:pt idx="653">
                  <c:v>45722</c:v>
                </c:pt>
                <c:pt idx="654">
                  <c:v>45723</c:v>
                </c:pt>
                <c:pt idx="655">
                  <c:v>45726</c:v>
                </c:pt>
                <c:pt idx="656">
                  <c:v>45727</c:v>
                </c:pt>
                <c:pt idx="657">
                  <c:v>45728</c:v>
                </c:pt>
                <c:pt idx="658">
                  <c:v>45729</c:v>
                </c:pt>
                <c:pt idx="659">
                  <c:v>45730</c:v>
                </c:pt>
                <c:pt idx="660">
                  <c:v>45733</c:v>
                </c:pt>
                <c:pt idx="661">
                  <c:v>45734</c:v>
                </c:pt>
                <c:pt idx="662">
                  <c:v>45735</c:v>
                </c:pt>
                <c:pt idx="663">
                  <c:v>45736</c:v>
                </c:pt>
                <c:pt idx="664">
                  <c:v>45737</c:v>
                </c:pt>
                <c:pt idx="665">
                  <c:v>45740</c:v>
                </c:pt>
                <c:pt idx="666">
                  <c:v>45741</c:v>
                </c:pt>
                <c:pt idx="667">
                  <c:v>45742</c:v>
                </c:pt>
                <c:pt idx="668">
                  <c:v>45743</c:v>
                </c:pt>
                <c:pt idx="669">
                  <c:v>45744</c:v>
                </c:pt>
                <c:pt idx="670">
                  <c:v>45747</c:v>
                </c:pt>
                <c:pt idx="671">
                  <c:v>45748</c:v>
                </c:pt>
                <c:pt idx="672">
                  <c:v>45749</c:v>
                </c:pt>
                <c:pt idx="673">
                  <c:v>45750</c:v>
                </c:pt>
                <c:pt idx="674">
                  <c:v>45751</c:v>
                </c:pt>
                <c:pt idx="675">
                  <c:v>45754</c:v>
                </c:pt>
                <c:pt idx="676">
                  <c:v>45755</c:v>
                </c:pt>
                <c:pt idx="677">
                  <c:v>45756</c:v>
                </c:pt>
                <c:pt idx="678">
                  <c:v>45757</c:v>
                </c:pt>
                <c:pt idx="679">
                  <c:v>45758</c:v>
                </c:pt>
                <c:pt idx="680">
                  <c:v>45761</c:v>
                </c:pt>
                <c:pt idx="681">
                  <c:v>45762</c:v>
                </c:pt>
                <c:pt idx="682">
                  <c:v>45763</c:v>
                </c:pt>
                <c:pt idx="683">
                  <c:v>45764</c:v>
                </c:pt>
                <c:pt idx="684">
                  <c:v>45768</c:v>
                </c:pt>
                <c:pt idx="685">
                  <c:v>45769</c:v>
                </c:pt>
                <c:pt idx="686">
                  <c:v>45770</c:v>
                </c:pt>
                <c:pt idx="687">
                  <c:v>45771</c:v>
                </c:pt>
                <c:pt idx="688">
                  <c:v>45772</c:v>
                </c:pt>
                <c:pt idx="689">
                  <c:v>45775</c:v>
                </c:pt>
                <c:pt idx="690">
                  <c:v>45776</c:v>
                </c:pt>
                <c:pt idx="691">
                  <c:v>45777</c:v>
                </c:pt>
                <c:pt idx="692">
                  <c:v>45778</c:v>
                </c:pt>
                <c:pt idx="693">
                  <c:v>45779</c:v>
                </c:pt>
                <c:pt idx="694">
                  <c:v>45782</c:v>
                </c:pt>
                <c:pt idx="695">
                  <c:v>45783</c:v>
                </c:pt>
                <c:pt idx="696">
                  <c:v>45784</c:v>
                </c:pt>
                <c:pt idx="697">
                  <c:v>45785</c:v>
                </c:pt>
                <c:pt idx="698">
                  <c:v>45786</c:v>
                </c:pt>
                <c:pt idx="699">
                  <c:v>45789</c:v>
                </c:pt>
                <c:pt idx="700">
                  <c:v>45790</c:v>
                </c:pt>
                <c:pt idx="701">
                  <c:v>45791</c:v>
                </c:pt>
                <c:pt idx="702">
                  <c:v>45792</c:v>
                </c:pt>
                <c:pt idx="703">
                  <c:v>45793</c:v>
                </c:pt>
                <c:pt idx="704">
                  <c:v>45796</c:v>
                </c:pt>
                <c:pt idx="705">
                  <c:v>45797</c:v>
                </c:pt>
                <c:pt idx="706">
                  <c:v>45798</c:v>
                </c:pt>
                <c:pt idx="707">
                  <c:v>45799</c:v>
                </c:pt>
                <c:pt idx="708">
                  <c:v>45800</c:v>
                </c:pt>
                <c:pt idx="709">
                  <c:v>45804</c:v>
                </c:pt>
                <c:pt idx="710">
                  <c:v>45805</c:v>
                </c:pt>
                <c:pt idx="711">
                  <c:v>45806</c:v>
                </c:pt>
                <c:pt idx="712">
                  <c:v>45807</c:v>
                </c:pt>
                <c:pt idx="713">
                  <c:v>45810</c:v>
                </c:pt>
                <c:pt idx="714">
                  <c:v>45811</c:v>
                </c:pt>
                <c:pt idx="715">
                  <c:v>45812</c:v>
                </c:pt>
                <c:pt idx="716">
                  <c:v>45813</c:v>
                </c:pt>
                <c:pt idx="717">
                  <c:v>45814</c:v>
                </c:pt>
                <c:pt idx="718">
                  <c:v>45817</c:v>
                </c:pt>
                <c:pt idx="719">
                  <c:v>45818</c:v>
                </c:pt>
                <c:pt idx="720">
                  <c:v>45819</c:v>
                </c:pt>
                <c:pt idx="721">
                  <c:v>45820</c:v>
                </c:pt>
                <c:pt idx="722">
                  <c:v>45821</c:v>
                </c:pt>
                <c:pt idx="723">
                  <c:v>45824</c:v>
                </c:pt>
                <c:pt idx="724">
                  <c:v>45825</c:v>
                </c:pt>
                <c:pt idx="725">
                  <c:v>45826</c:v>
                </c:pt>
                <c:pt idx="726">
                  <c:v>45828</c:v>
                </c:pt>
                <c:pt idx="727">
                  <c:v>45831</c:v>
                </c:pt>
                <c:pt idx="728">
                  <c:v>45832</c:v>
                </c:pt>
                <c:pt idx="729">
                  <c:v>45833</c:v>
                </c:pt>
                <c:pt idx="730">
                  <c:v>45834</c:v>
                </c:pt>
                <c:pt idx="731">
                  <c:v>45835</c:v>
                </c:pt>
                <c:pt idx="732">
                  <c:v>45838</c:v>
                </c:pt>
                <c:pt idx="733">
                  <c:v>45839</c:v>
                </c:pt>
                <c:pt idx="734">
                  <c:v>45840</c:v>
                </c:pt>
                <c:pt idx="735">
                  <c:v>45841</c:v>
                </c:pt>
                <c:pt idx="736">
                  <c:v>45845</c:v>
                </c:pt>
                <c:pt idx="737">
                  <c:v>45846</c:v>
                </c:pt>
                <c:pt idx="738">
                  <c:v>45847</c:v>
                </c:pt>
                <c:pt idx="739">
                  <c:v>45848</c:v>
                </c:pt>
                <c:pt idx="740">
                  <c:v>45849</c:v>
                </c:pt>
                <c:pt idx="741">
                  <c:v>45852</c:v>
                </c:pt>
                <c:pt idx="742">
                  <c:v>45853</c:v>
                </c:pt>
                <c:pt idx="743">
                  <c:v>45854</c:v>
                </c:pt>
                <c:pt idx="744">
                  <c:v>45855</c:v>
                </c:pt>
                <c:pt idx="745">
                  <c:v>45856</c:v>
                </c:pt>
                <c:pt idx="746">
                  <c:v>45859</c:v>
                </c:pt>
                <c:pt idx="747">
                  <c:v>45860</c:v>
                </c:pt>
                <c:pt idx="748">
                  <c:v>45861</c:v>
                </c:pt>
                <c:pt idx="749">
                  <c:v>45862</c:v>
                </c:pt>
                <c:pt idx="750">
                  <c:v>45863</c:v>
                </c:pt>
                <c:pt idx="751">
                  <c:v>45866</c:v>
                </c:pt>
                <c:pt idx="752">
                  <c:v>45867</c:v>
                </c:pt>
                <c:pt idx="753">
                  <c:v>45868</c:v>
                </c:pt>
                <c:pt idx="754">
                  <c:v>45869</c:v>
                </c:pt>
                <c:pt idx="755">
                  <c:v>45870</c:v>
                </c:pt>
                <c:pt idx="756">
                  <c:v>45873</c:v>
                </c:pt>
                <c:pt idx="757">
                  <c:v>45874</c:v>
                </c:pt>
                <c:pt idx="758">
                  <c:v>45875</c:v>
                </c:pt>
                <c:pt idx="759">
                  <c:v>45876</c:v>
                </c:pt>
                <c:pt idx="760">
                  <c:v>45877</c:v>
                </c:pt>
                <c:pt idx="761">
                  <c:v>45880</c:v>
                </c:pt>
                <c:pt idx="762">
                  <c:v>45881</c:v>
                </c:pt>
                <c:pt idx="763">
                  <c:v>45882</c:v>
                </c:pt>
                <c:pt idx="764">
                  <c:v>45883</c:v>
                </c:pt>
                <c:pt idx="765">
                  <c:v>45884</c:v>
                </c:pt>
                <c:pt idx="766">
                  <c:v>45887</c:v>
                </c:pt>
                <c:pt idx="767">
                  <c:v>45888</c:v>
                </c:pt>
                <c:pt idx="768">
                  <c:v>45889</c:v>
                </c:pt>
                <c:pt idx="769">
                  <c:v>45890</c:v>
                </c:pt>
                <c:pt idx="770">
                  <c:v>45891</c:v>
                </c:pt>
                <c:pt idx="771">
                  <c:v>45894</c:v>
                </c:pt>
                <c:pt idx="772">
                  <c:v>45895</c:v>
                </c:pt>
                <c:pt idx="773">
                  <c:v>45896</c:v>
                </c:pt>
                <c:pt idx="774">
                  <c:v>45897</c:v>
                </c:pt>
                <c:pt idx="775">
                  <c:v>45898</c:v>
                </c:pt>
                <c:pt idx="776">
                  <c:v>45902</c:v>
                </c:pt>
                <c:pt idx="777">
                  <c:v>45903</c:v>
                </c:pt>
                <c:pt idx="778">
                  <c:v>45904</c:v>
                </c:pt>
                <c:pt idx="779">
                  <c:v>45905</c:v>
                </c:pt>
                <c:pt idx="780">
                  <c:v>45908</c:v>
                </c:pt>
                <c:pt idx="781">
                  <c:v>45909</c:v>
                </c:pt>
                <c:pt idx="782">
                  <c:v>45910</c:v>
                </c:pt>
                <c:pt idx="783">
                  <c:v>45911</c:v>
                </c:pt>
                <c:pt idx="784">
                  <c:v>45912</c:v>
                </c:pt>
                <c:pt idx="785">
                  <c:v>45915</c:v>
                </c:pt>
                <c:pt idx="786">
                  <c:v>45916</c:v>
                </c:pt>
                <c:pt idx="787">
                  <c:v>45917</c:v>
                </c:pt>
                <c:pt idx="788">
                  <c:v>45918</c:v>
                </c:pt>
                <c:pt idx="789">
                  <c:v>45919</c:v>
                </c:pt>
                <c:pt idx="790">
                  <c:v>45922</c:v>
                </c:pt>
                <c:pt idx="791">
                  <c:v>45923</c:v>
                </c:pt>
                <c:pt idx="792">
                  <c:v>45924</c:v>
                </c:pt>
                <c:pt idx="793">
                  <c:v>45925</c:v>
                </c:pt>
                <c:pt idx="794">
                  <c:v>45926</c:v>
                </c:pt>
                <c:pt idx="795">
                  <c:v>45929</c:v>
                </c:pt>
                <c:pt idx="796">
                  <c:v>45930</c:v>
                </c:pt>
                <c:pt idx="797">
                  <c:v>45931</c:v>
                </c:pt>
                <c:pt idx="798">
                  <c:v>45932</c:v>
                </c:pt>
                <c:pt idx="799">
                  <c:v>45933</c:v>
                </c:pt>
                <c:pt idx="800">
                  <c:v>45936</c:v>
                </c:pt>
                <c:pt idx="801">
                  <c:v>45937</c:v>
                </c:pt>
                <c:pt idx="802">
                  <c:v>45938</c:v>
                </c:pt>
                <c:pt idx="803">
                  <c:v>45939</c:v>
                </c:pt>
                <c:pt idx="804">
                  <c:v>45940</c:v>
                </c:pt>
                <c:pt idx="805">
                  <c:v>45943</c:v>
                </c:pt>
                <c:pt idx="806">
                  <c:v>45944</c:v>
                </c:pt>
                <c:pt idx="807">
                  <c:v>45945</c:v>
                </c:pt>
                <c:pt idx="808">
                  <c:v>45946</c:v>
                </c:pt>
                <c:pt idx="809">
                  <c:v>45947</c:v>
                </c:pt>
                <c:pt idx="810">
                  <c:v>45950</c:v>
                </c:pt>
                <c:pt idx="811">
                  <c:v>45951</c:v>
                </c:pt>
                <c:pt idx="812">
                  <c:v>45952</c:v>
                </c:pt>
                <c:pt idx="813">
                  <c:v>45953</c:v>
                </c:pt>
                <c:pt idx="814">
                  <c:v>45954</c:v>
                </c:pt>
                <c:pt idx="815">
                  <c:v>45957</c:v>
                </c:pt>
                <c:pt idx="816">
                  <c:v>45958</c:v>
                </c:pt>
                <c:pt idx="817">
                  <c:v>45959</c:v>
                </c:pt>
                <c:pt idx="818">
                  <c:v>45960</c:v>
                </c:pt>
                <c:pt idx="819">
                  <c:v>45961</c:v>
                </c:pt>
                <c:pt idx="820">
                  <c:v>45964</c:v>
                </c:pt>
                <c:pt idx="821">
                  <c:v>45965</c:v>
                </c:pt>
                <c:pt idx="822">
                  <c:v>45966</c:v>
                </c:pt>
                <c:pt idx="823">
                  <c:v>45967</c:v>
                </c:pt>
                <c:pt idx="824">
                  <c:v>45968</c:v>
                </c:pt>
                <c:pt idx="825">
                  <c:v>45971</c:v>
                </c:pt>
                <c:pt idx="826">
                  <c:v>45972</c:v>
                </c:pt>
                <c:pt idx="827">
                  <c:v>45973</c:v>
                </c:pt>
                <c:pt idx="828">
                  <c:v>45974</c:v>
                </c:pt>
                <c:pt idx="829">
                  <c:v>45975</c:v>
                </c:pt>
                <c:pt idx="830">
                  <c:v>45978</c:v>
                </c:pt>
                <c:pt idx="831">
                  <c:v>45979</c:v>
                </c:pt>
                <c:pt idx="832">
                  <c:v>45980</c:v>
                </c:pt>
                <c:pt idx="833">
                  <c:v>45981</c:v>
                </c:pt>
                <c:pt idx="834">
                  <c:v>45982</c:v>
                </c:pt>
                <c:pt idx="835">
                  <c:v>45985</c:v>
                </c:pt>
                <c:pt idx="836">
                  <c:v>45986</c:v>
                </c:pt>
                <c:pt idx="837">
                  <c:v>45987</c:v>
                </c:pt>
                <c:pt idx="838">
                  <c:v>45989</c:v>
                </c:pt>
                <c:pt idx="839">
                  <c:v>45992</c:v>
                </c:pt>
                <c:pt idx="840">
                  <c:v>45993</c:v>
                </c:pt>
                <c:pt idx="841">
                  <c:v>45994</c:v>
                </c:pt>
                <c:pt idx="842">
                  <c:v>45995</c:v>
                </c:pt>
                <c:pt idx="843">
                  <c:v>45996</c:v>
                </c:pt>
                <c:pt idx="844">
                  <c:v>45999</c:v>
                </c:pt>
                <c:pt idx="845">
                  <c:v>46000</c:v>
                </c:pt>
                <c:pt idx="846">
                  <c:v>46001</c:v>
                </c:pt>
                <c:pt idx="847">
                  <c:v>46002</c:v>
                </c:pt>
                <c:pt idx="848">
                  <c:v>46003</c:v>
                </c:pt>
                <c:pt idx="849">
                  <c:v>46006</c:v>
                </c:pt>
                <c:pt idx="850">
                  <c:v>46007</c:v>
                </c:pt>
                <c:pt idx="851">
                  <c:v>46008</c:v>
                </c:pt>
                <c:pt idx="852">
                  <c:v>46009</c:v>
                </c:pt>
                <c:pt idx="853">
                  <c:v>46010</c:v>
                </c:pt>
                <c:pt idx="854">
                  <c:v>46013</c:v>
                </c:pt>
                <c:pt idx="855">
                  <c:v>46014</c:v>
                </c:pt>
                <c:pt idx="856">
                  <c:v>46015</c:v>
                </c:pt>
                <c:pt idx="857">
                  <c:v>46017</c:v>
                </c:pt>
                <c:pt idx="858">
                  <c:v>46020</c:v>
                </c:pt>
                <c:pt idx="859">
                  <c:v>46021</c:v>
                </c:pt>
                <c:pt idx="860">
                  <c:v>46022</c:v>
                </c:pt>
                <c:pt idx="861">
                  <c:v>46024</c:v>
                </c:pt>
                <c:pt idx="862">
                  <c:v>46027</c:v>
                </c:pt>
                <c:pt idx="863">
                  <c:v>46028</c:v>
                </c:pt>
                <c:pt idx="864">
                  <c:v>46029</c:v>
                </c:pt>
                <c:pt idx="865">
                  <c:v>46030</c:v>
                </c:pt>
                <c:pt idx="866">
                  <c:v>46031</c:v>
                </c:pt>
                <c:pt idx="867">
                  <c:v>46034</c:v>
                </c:pt>
                <c:pt idx="868">
                  <c:v>46035</c:v>
                </c:pt>
                <c:pt idx="869">
                  <c:v>46036</c:v>
                </c:pt>
                <c:pt idx="870">
                  <c:v>46037</c:v>
                </c:pt>
                <c:pt idx="871">
                  <c:v>46038</c:v>
                </c:pt>
                <c:pt idx="872">
                  <c:v>46042</c:v>
                </c:pt>
                <c:pt idx="873">
                  <c:v>46043</c:v>
                </c:pt>
                <c:pt idx="874">
                  <c:v>46044</c:v>
                </c:pt>
                <c:pt idx="875">
                  <c:v>46045</c:v>
                </c:pt>
                <c:pt idx="876">
                  <c:v>46048</c:v>
                </c:pt>
                <c:pt idx="877">
                  <c:v>46049</c:v>
                </c:pt>
                <c:pt idx="878">
                  <c:v>46050</c:v>
                </c:pt>
                <c:pt idx="879">
                  <c:v>46051</c:v>
                </c:pt>
                <c:pt idx="880">
                  <c:v>46052</c:v>
                </c:pt>
                <c:pt idx="881">
                  <c:v>46055</c:v>
                </c:pt>
                <c:pt idx="882">
                  <c:v>46056</c:v>
                </c:pt>
                <c:pt idx="883">
                  <c:v>46057</c:v>
                </c:pt>
                <c:pt idx="884">
                  <c:v>46058</c:v>
                </c:pt>
                <c:pt idx="885">
                  <c:v>46059</c:v>
                </c:pt>
                <c:pt idx="886">
                  <c:v>46062</c:v>
                </c:pt>
                <c:pt idx="887">
                  <c:v>46063</c:v>
                </c:pt>
                <c:pt idx="888">
                  <c:v>46064</c:v>
                </c:pt>
                <c:pt idx="889">
                  <c:v>46065</c:v>
                </c:pt>
                <c:pt idx="890">
                  <c:v>46066</c:v>
                </c:pt>
                <c:pt idx="891">
                  <c:v>46070</c:v>
                </c:pt>
                <c:pt idx="892">
                  <c:v>46071</c:v>
                </c:pt>
                <c:pt idx="893">
                  <c:v>46072</c:v>
                </c:pt>
                <c:pt idx="894">
                  <c:v>46073</c:v>
                </c:pt>
                <c:pt idx="895">
                  <c:v>46076</c:v>
                </c:pt>
                <c:pt idx="896">
                  <c:v>46077</c:v>
                </c:pt>
                <c:pt idx="897">
                  <c:v>46078</c:v>
                </c:pt>
                <c:pt idx="898">
                  <c:v>46079</c:v>
                </c:pt>
                <c:pt idx="899">
                  <c:v>46080</c:v>
                </c:pt>
                <c:pt idx="900">
                  <c:v>46083</c:v>
                </c:pt>
                <c:pt idx="901">
                  <c:v>46084</c:v>
                </c:pt>
                <c:pt idx="902">
                  <c:v>46085</c:v>
                </c:pt>
                <c:pt idx="903">
                  <c:v>46086</c:v>
                </c:pt>
                <c:pt idx="904">
                  <c:v>46087</c:v>
                </c:pt>
                <c:pt idx="905">
                  <c:v>46090</c:v>
                </c:pt>
                <c:pt idx="906">
                  <c:v>46091</c:v>
                </c:pt>
                <c:pt idx="907">
                  <c:v>46092</c:v>
                </c:pt>
                <c:pt idx="908">
                  <c:v>46093</c:v>
                </c:pt>
                <c:pt idx="909">
                  <c:v>46094</c:v>
                </c:pt>
                <c:pt idx="910">
                  <c:v>46097</c:v>
                </c:pt>
                <c:pt idx="911">
                  <c:v>46098</c:v>
                </c:pt>
                <c:pt idx="912">
                  <c:v>46099</c:v>
                </c:pt>
                <c:pt idx="913">
                  <c:v>46100</c:v>
                </c:pt>
                <c:pt idx="914">
                  <c:v>46101</c:v>
                </c:pt>
                <c:pt idx="915">
                  <c:v>46104</c:v>
                </c:pt>
                <c:pt idx="916">
                  <c:v>46105</c:v>
                </c:pt>
                <c:pt idx="917">
                  <c:v>46106</c:v>
                </c:pt>
                <c:pt idx="918">
                  <c:v>46107</c:v>
                </c:pt>
                <c:pt idx="919">
                  <c:v>46108</c:v>
                </c:pt>
                <c:pt idx="920">
                  <c:v>46111</c:v>
                </c:pt>
                <c:pt idx="921">
                  <c:v>46112</c:v>
                </c:pt>
                <c:pt idx="922">
                  <c:v>46113</c:v>
                </c:pt>
                <c:pt idx="923">
                  <c:v>46114</c:v>
                </c:pt>
                <c:pt idx="924">
                  <c:v>46118</c:v>
                </c:pt>
                <c:pt idx="925">
                  <c:v>46119</c:v>
                </c:pt>
                <c:pt idx="926">
                  <c:v>46120</c:v>
                </c:pt>
                <c:pt idx="927">
                  <c:v>46121</c:v>
                </c:pt>
                <c:pt idx="928">
                  <c:v>46122</c:v>
                </c:pt>
                <c:pt idx="929">
                  <c:v>46125</c:v>
                </c:pt>
                <c:pt idx="930">
                  <c:v>46126</c:v>
                </c:pt>
                <c:pt idx="931">
                  <c:v>46127</c:v>
                </c:pt>
                <c:pt idx="932">
                  <c:v>46128</c:v>
                </c:pt>
                <c:pt idx="933">
                  <c:v>46129</c:v>
                </c:pt>
                <c:pt idx="934">
                  <c:v>46132</c:v>
                </c:pt>
                <c:pt idx="935">
                  <c:v>46133</c:v>
                </c:pt>
                <c:pt idx="936">
                  <c:v>46134</c:v>
                </c:pt>
                <c:pt idx="937">
                  <c:v>46135</c:v>
                </c:pt>
                <c:pt idx="938">
                  <c:v>46136</c:v>
                </c:pt>
                <c:pt idx="939">
                  <c:v>46139</c:v>
                </c:pt>
                <c:pt idx="940">
                  <c:v>46140</c:v>
                </c:pt>
                <c:pt idx="941">
                  <c:v>46141</c:v>
                </c:pt>
                <c:pt idx="942">
                  <c:v>46142</c:v>
                </c:pt>
                <c:pt idx="943">
                  <c:v>46143</c:v>
                </c:pt>
                <c:pt idx="944">
                  <c:v>46146</c:v>
                </c:pt>
                <c:pt idx="945">
                  <c:v>46147</c:v>
                </c:pt>
                <c:pt idx="946">
                  <c:v>46148</c:v>
                </c:pt>
                <c:pt idx="947">
                  <c:v>46149</c:v>
                </c:pt>
                <c:pt idx="948">
                  <c:v>46150</c:v>
                </c:pt>
                <c:pt idx="949">
                  <c:v>46153</c:v>
                </c:pt>
                <c:pt idx="950">
                  <c:v>46154</c:v>
                </c:pt>
                <c:pt idx="951">
                  <c:v>46155</c:v>
                </c:pt>
                <c:pt idx="952">
                  <c:v>46156</c:v>
                </c:pt>
                <c:pt idx="953">
                  <c:v>46157</c:v>
                </c:pt>
                <c:pt idx="954">
                  <c:v>46160</c:v>
                </c:pt>
                <c:pt idx="955">
                  <c:v>46161</c:v>
                </c:pt>
                <c:pt idx="956">
                  <c:v>46162</c:v>
                </c:pt>
                <c:pt idx="957">
                  <c:v>46163</c:v>
                </c:pt>
                <c:pt idx="958">
                  <c:v>46164</c:v>
                </c:pt>
                <c:pt idx="959">
                  <c:v>46168</c:v>
                </c:pt>
                <c:pt idx="960">
                  <c:v>46169</c:v>
                </c:pt>
                <c:pt idx="961">
                  <c:v>46170</c:v>
                </c:pt>
                <c:pt idx="962">
                  <c:v>46171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46181</c:v>
                </c:pt>
                <c:pt idx="969">
                  <c:v>46182</c:v>
                </c:pt>
                <c:pt idx="970">
                  <c:v>46183</c:v>
                </c:pt>
                <c:pt idx="971">
                  <c:v>46184</c:v>
                </c:pt>
                <c:pt idx="972">
                  <c:v>46185</c:v>
                </c:pt>
                <c:pt idx="973">
                  <c:v>46188</c:v>
                </c:pt>
                <c:pt idx="974">
                  <c:v>46189</c:v>
                </c:pt>
                <c:pt idx="975">
                  <c:v>46190</c:v>
                </c:pt>
                <c:pt idx="976">
                  <c:v>46191</c:v>
                </c:pt>
                <c:pt idx="977">
                  <c:v>46195</c:v>
                </c:pt>
                <c:pt idx="978">
                  <c:v>46196</c:v>
                </c:pt>
                <c:pt idx="979">
                  <c:v>46197</c:v>
                </c:pt>
                <c:pt idx="980">
                  <c:v>46198</c:v>
                </c:pt>
                <c:pt idx="981">
                  <c:v>46199</c:v>
                </c:pt>
                <c:pt idx="982">
                  <c:v>46202</c:v>
                </c:pt>
                <c:pt idx="983">
                  <c:v>46203</c:v>
                </c:pt>
                <c:pt idx="984">
                  <c:v>46204</c:v>
                </c:pt>
                <c:pt idx="985">
                  <c:v>46205</c:v>
                </c:pt>
                <c:pt idx="986">
                  <c:v>46209</c:v>
                </c:pt>
                <c:pt idx="987">
                  <c:v>46210</c:v>
                </c:pt>
                <c:pt idx="988">
                  <c:v>46211</c:v>
                </c:pt>
                <c:pt idx="989">
                  <c:v>46212</c:v>
                </c:pt>
                <c:pt idx="990">
                  <c:v>46213</c:v>
                </c:pt>
                <c:pt idx="991">
                  <c:v>46216</c:v>
                </c:pt>
                <c:pt idx="992">
                  <c:v>46217</c:v>
                </c:pt>
                <c:pt idx="993">
                  <c:v>46218</c:v>
                </c:pt>
                <c:pt idx="994">
                  <c:v>46219</c:v>
                </c:pt>
                <c:pt idx="995">
                  <c:v>46220</c:v>
                </c:pt>
                <c:pt idx="996">
                  <c:v>46223</c:v>
                </c:pt>
                <c:pt idx="997">
                  <c:v>46224</c:v>
                </c:pt>
                <c:pt idx="998">
                  <c:v>46225</c:v>
                </c:pt>
                <c:pt idx="999">
                  <c:v>46226</c:v>
                </c:pt>
                <c:pt idx="1000">
                  <c:v>46227</c:v>
                </c:pt>
                <c:pt idx="1001">
                  <c:v>46230</c:v>
                </c:pt>
                <c:pt idx="1002">
                  <c:v>46231</c:v>
                </c:pt>
                <c:pt idx="1003">
                  <c:v>46232</c:v>
                </c:pt>
                <c:pt idx="1004">
                  <c:v>46233</c:v>
                </c:pt>
              </c:numCache>
            </c:numRef>
          </c:cat>
          <c:val>
            <c:numRef>
              <c:f>Chart!$C$2:$C$1006</c:f>
              <c:numCache>
                <c:formatCode>General</c:formatCode>
                <c:ptCount val="1005"/>
                <c:pt idx="0">
                  <c:v>-3.1267244195623982E-2</c:v>
                </c:pt>
                <c:pt idx="1">
                  <c:v>-3.144206053895332E-2</c:v>
                </c:pt>
                <c:pt idx="2">
                  <c:v>-3.142437559658081E-2</c:v>
                </c:pt>
                <c:pt idx="3">
                  <c:v>-3.1438996657313513E-2</c:v>
                </c:pt>
                <c:pt idx="4">
                  <c:v>-3.1676054635774907E-2</c:v>
                </c:pt>
                <c:pt idx="5">
                  <c:v>-3.167222530731751E-2</c:v>
                </c:pt>
                <c:pt idx="6">
                  <c:v>-3.1672725166576987E-2</c:v>
                </c:pt>
                <c:pt idx="7">
                  <c:v>-3.1672262578612179E-2</c:v>
                </c:pt>
                <c:pt idx="8">
                  <c:v>-3.1672027049378819E-2</c:v>
                </c:pt>
                <c:pt idx="9">
                  <c:v>-3.1713495171942829E-2</c:v>
                </c:pt>
                <c:pt idx="10">
                  <c:v>-3.1717575631118114E-2</c:v>
                </c:pt>
                <c:pt idx="11">
                  <c:v>-3.1761819962342085E-2</c:v>
                </c:pt>
                <c:pt idx="12">
                  <c:v>-3.1759664977613497E-2</c:v>
                </c:pt>
                <c:pt idx="13">
                  <c:v>-3.1640116094049105E-2</c:v>
                </c:pt>
                <c:pt idx="14">
                  <c:v>-3.1650781828985453E-2</c:v>
                </c:pt>
                <c:pt idx="15">
                  <c:v>-3.1637351597368184E-2</c:v>
                </c:pt>
                <c:pt idx="16">
                  <c:v>-3.1664494532900635E-2</c:v>
                </c:pt>
                <c:pt idx="17">
                  <c:v>-3.1761567603797572E-2</c:v>
                </c:pt>
                <c:pt idx="18">
                  <c:v>-3.1748812174551166E-2</c:v>
                </c:pt>
                <c:pt idx="19">
                  <c:v>-3.1742766285185089E-2</c:v>
                </c:pt>
                <c:pt idx="20">
                  <c:v>-3.1770050416649737E-2</c:v>
                </c:pt>
                <c:pt idx="21">
                  <c:v>-3.1877712551677054E-2</c:v>
                </c:pt>
                <c:pt idx="22">
                  <c:v>-3.1898284763285684E-2</c:v>
                </c:pt>
                <c:pt idx="23">
                  <c:v>-3.1936887454713798E-2</c:v>
                </c:pt>
                <c:pt idx="24">
                  <c:v>-3.1947884743619738E-2</c:v>
                </c:pt>
                <c:pt idx="25">
                  <c:v>-3.1948660030128154E-2</c:v>
                </c:pt>
                <c:pt idx="26">
                  <c:v>-3.1940953290703185E-2</c:v>
                </c:pt>
                <c:pt idx="27">
                  <c:v>-3.1934932268256611E-2</c:v>
                </c:pt>
                <c:pt idx="28">
                  <c:v>-3.1941554873247131E-2</c:v>
                </c:pt>
                <c:pt idx="29">
                  <c:v>-3.1763193246355174E-2</c:v>
                </c:pt>
                <c:pt idx="30">
                  <c:v>-3.1819127075088605E-2</c:v>
                </c:pt>
                <c:pt idx="31">
                  <c:v>-3.2041069569503755E-2</c:v>
                </c:pt>
                <c:pt idx="32">
                  <c:v>-3.2655348057617016E-2</c:v>
                </c:pt>
                <c:pt idx="33">
                  <c:v>-3.2669313477124658E-2</c:v>
                </c:pt>
                <c:pt idx="34">
                  <c:v>-3.2673350263127308E-2</c:v>
                </c:pt>
                <c:pt idx="35">
                  <c:v>-3.2615072411631758E-2</c:v>
                </c:pt>
                <c:pt idx="36">
                  <c:v>-3.271324415956748E-2</c:v>
                </c:pt>
                <c:pt idx="37">
                  <c:v>-3.2707005448692254E-2</c:v>
                </c:pt>
                <c:pt idx="38">
                  <c:v>-3.2771343288978377E-2</c:v>
                </c:pt>
                <c:pt idx="39">
                  <c:v>-3.2778491931488546E-2</c:v>
                </c:pt>
                <c:pt idx="40">
                  <c:v>-3.2798604597249231E-2</c:v>
                </c:pt>
                <c:pt idx="41">
                  <c:v>-3.2700450462676459E-2</c:v>
                </c:pt>
                <c:pt idx="42">
                  <c:v>-3.2700550782186082E-2</c:v>
                </c:pt>
                <c:pt idx="43">
                  <c:v>-3.2713133635001203E-2</c:v>
                </c:pt>
                <c:pt idx="44">
                  <c:v>-3.3123252555531488E-2</c:v>
                </c:pt>
                <c:pt idx="45">
                  <c:v>-3.3174267700470168E-2</c:v>
                </c:pt>
                <c:pt idx="46">
                  <c:v>-3.3292254052901003E-2</c:v>
                </c:pt>
                <c:pt idx="47">
                  <c:v>-3.3389487360340822E-2</c:v>
                </c:pt>
                <c:pt idx="48">
                  <c:v>-3.3376970959956634E-2</c:v>
                </c:pt>
                <c:pt idx="49">
                  <c:v>-3.3383015877129329E-2</c:v>
                </c:pt>
                <c:pt idx="50">
                  <c:v>-3.3610242256409302E-2</c:v>
                </c:pt>
                <c:pt idx="51">
                  <c:v>-3.3597667871416999E-2</c:v>
                </c:pt>
                <c:pt idx="52">
                  <c:v>-3.3611885522654122E-2</c:v>
                </c:pt>
                <c:pt idx="53">
                  <c:v>-3.3549307140767745E-2</c:v>
                </c:pt>
                <c:pt idx="54">
                  <c:v>-3.3717337387870805E-2</c:v>
                </c:pt>
                <c:pt idx="55">
                  <c:v>-3.3866312845734395E-2</c:v>
                </c:pt>
                <c:pt idx="56">
                  <c:v>-3.3963585765510867E-2</c:v>
                </c:pt>
                <c:pt idx="57">
                  <c:v>-3.3976048775106425E-2</c:v>
                </c:pt>
                <c:pt idx="58">
                  <c:v>-3.3975769923569092E-2</c:v>
                </c:pt>
                <c:pt idx="59">
                  <c:v>-3.397305165514776E-2</c:v>
                </c:pt>
                <c:pt idx="60">
                  <c:v>-3.4087344683944761E-2</c:v>
                </c:pt>
                <c:pt idx="61">
                  <c:v>-3.4118431841263563E-2</c:v>
                </c:pt>
                <c:pt idx="62">
                  <c:v>-3.4174625736141308E-2</c:v>
                </c:pt>
                <c:pt idx="63">
                  <c:v>-3.4139792138607877E-2</c:v>
                </c:pt>
                <c:pt idx="64">
                  <c:v>-3.4237737118683366E-2</c:v>
                </c:pt>
                <c:pt idx="65">
                  <c:v>-3.5063331447595478E-2</c:v>
                </c:pt>
                <c:pt idx="66">
                  <c:v>-3.5093980212557302E-2</c:v>
                </c:pt>
                <c:pt idx="67">
                  <c:v>-3.5128024005606516E-2</c:v>
                </c:pt>
                <c:pt idx="68">
                  <c:v>-3.5348272240959128E-2</c:v>
                </c:pt>
                <c:pt idx="69">
                  <c:v>-3.5630380898159481E-2</c:v>
                </c:pt>
                <c:pt idx="70">
                  <c:v>-3.5626537736573975E-2</c:v>
                </c:pt>
                <c:pt idx="71">
                  <c:v>-3.5628046651845928E-2</c:v>
                </c:pt>
                <c:pt idx="72">
                  <c:v>-3.557512695752317E-2</c:v>
                </c:pt>
                <c:pt idx="73">
                  <c:v>-3.5745855849467996E-2</c:v>
                </c:pt>
                <c:pt idx="74">
                  <c:v>-3.6808056646140952E-2</c:v>
                </c:pt>
                <c:pt idx="75">
                  <c:v>-3.6861857172497334E-2</c:v>
                </c:pt>
                <c:pt idx="76">
                  <c:v>-3.6868597958768699E-2</c:v>
                </c:pt>
                <c:pt idx="77">
                  <c:v>-3.6849755951437337E-2</c:v>
                </c:pt>
                <c:pt idx="78">
                  <c:v>-3.6741604833406119E-2</c:v>
                </c:pt>
                <c:pt idx="79">
                  <c:v>-3.672409528323084E-2</c:v>
                </c:pt>
                <c:pt idx="80">
                  <c:v>-3.6725005951714101E-2</c:v>
                </c:pt>
                <c:pt idx="81">
                  <c:v>-3.6793289338657401E-2</c:v>
                </c:pt>
                <c:pt idx="82">
                  <c:v>-3.6824022452535916E-2</c:v>
                </c:pt>
                <c:pt idx="83">
                  <c:v>-3.6678453185818485E-2</c:v>
                </c:pt>
                <c:pt idx="84">
                  <c:v>-3.6664120590094426E-2</c:v>
                </c:pt>
                <c:pt idx="85">
                  <c:v>-3.6619392286267968E-2</c:v>
                </c:pt>
                <c:pt idx="86">
                  <c:v>-3.6682584735389559E-2</c:v>
                </c:pt>
                <c:pt idx="87">
                  <c:v>-3.7016672008792564E-2</c:v>
                </c:pt>
                <c:pt idx="88">
                  <c:v>-3.6998108825651611E-2</c:v>
                </c:pt>
                <c:pt idx="89">
                  <c:v>-3.6930227546391858E-2</c:v>
                </c:pt>
                <c:pt idx="90">
                  <c:v>-3.6754550427428569E-2</c:v>
                </c:pt>
                <c:pt idx="91">
                  <c:v>-3.6767227571668504E-2</c:v>
                </c:pt>
                <c:pt idx="92">
                  <c:v>-3.6791822916408652E-2</c:v>
                </c:pt>
                <c:pt idx="93">
                  <c:v>-3.6696374302041632E-2</c:v>
                </c:pt>
                <c:pt idx="94">
                  <c:v>-3.6637923668294436E-2</c:v>
                </c:pt>
                <c:pt idx="95">
                  <c:v>-3.6673069671890032E-2</c:v>
                </c:pt>
                <c:pt idx="96">
                  <c:v>-3.6557547935851496E-2</c:v>
                </c:pt>
                <c:pt idx="97">
                  <c:v>-3.6360819418219024E-2</c:v>
                </c:pt>
                <c:pt idx="98">
                  <c:v>-3.6687228997415673E-2</c:v>
                </c:pt>
                <c:pt idx="99">
                  <c:v>-3.6707454653887694E-2</c:v>
                </c:pt>
                <c:pt idx="100">
                  <c:v>-3.6682115010971399E-2</c:v>
                </c:pt>
                <c:pt idx="101">
                  <c:v>-3.664305220032598E-2</c:v>
                </c:pt>
                <c:pt idx="102">
                  <c:v>-3.6729474643324919E-2</c:v>
                </c:pt>
                <c:pt idx="103">
                  <c:v>-3.672325096802477E-2</c:v>
                </c:pt>
                <c:pt idx="104">
                  <c:v>-3.6720487478280425E-2</c:v>
                </c:pt>
                <c:pt idx="105">
                  <c:v>-3.6744046539464281E-2</c:v>
                </c:pt>
                <c:pt idx="106">
                  <c:v>-3.6871447272381931E-2</c:v>
                </c:pt>
                <c:pt idx="107">
                  <c:v>-3.699632821459721E-2</c:v>
                </c:pt>
                <c:pt idx="108">
                  <c:v>-3.6899115420997136E-2</c:v>
                </c:pt>
                <c:pt idx="109">
                  <c:v>-3.7078440629608668E-2</c:v>
                </c:pt>
                <c:pt idx="110">
                  <c:v>-3.7001883420817554E-2</c:v>
                </c:pt>
                <c:pt idx="111">
                  <c:v>-3.6979244355007053E-2</c:v>
                </c:pt>
                <c:pt idx="112">
                  <c:v>-3.7182445201190725E-2</c:v>
                </c:pt>
                <c:pt idx="113">
                  <c:v>-3.7186158883416198E-2</c:v>
                </c:pt>
                <c:pt idx="114">
                  <c:v>-3.7144660326399431E-2</c:v>
                </c:pt>
                <c:pt idx="115">
                  <c:v>-3.7213397069236022E-2</c:v>
                </c:pt>
                <c:pt idx="116">
                  <c:v>-3.7165263957155373E-2</c:v>
                </c:pt>
                <c:pt idx="117">
                  <c:v>-3.7177624149530103E-2</c:v>
                </c:pt>
                <c:pt idx="118">
                  <c:v>-3.7142662728952017E-2</c:v>
                </c:pt>
                <c:pt idx="119">
                  <c:v>-3.7085025371455971E-2</c:v>
                </c:pt>
                <c:pt idx="120">
                  <c:v>-3.7071600865723198E-2</c:v>
                </c:pt>
                <c:pt idx="121">
                  <c:v>-3.7106880758813958E-2</c:v>
                </c:pt>
                <c:pt idx="122">
                  <c:v>-3.7186880190207348E-2</c:v>
                </c:pt>
                <c:pt idx="123">
                  <c:v>-3.7185687301527486E-2</c:v>
                </c:pt>
                <c:pt idx="124">
                  <c:v>-3.7188344566365349E-2</c:v>
                </c:pt>
                <c:pt idx="125">
                  <c:v>-3.7220784060210059E-2</c:v>
                </c:pt>
                <c:pt idx="126">
                  <c:v>-3.6571839616933492E-2</c:v>
                </c:pt>
                <c:pt idx="127">
                  <c:v>-3.6524585741381933E-2</c:v>
                </c:pt>
                <c:pt idx="128">
                  <c:v>-3.6538674179746523E-2</c:v>
                </c:pt>
                <c:pt idx="129">
                  <c:v>-3.6540647556209359E-2</c:v>
                </c:pt>
                <c:pt idx="130">
                  <c:v>-3.6705061260631014E-2</c:v>
                </c:pt>
                <c:pt idx="131">
                  <c:v>-3.679415091607792E-2</c:v>
                </c:pt>
                <c:pt idx="132">
                  <c:v>-3.6837918955913311E-2</c:v>
                </c:pt>
                <c:pt idx="133">
                  <c:v>-3.684236260036295E-2</c:v>
                </c:pt>
                <c:pt idx="134">
                  <c:v>-3.6875047502992447E-2</c:v>
                </c:pt>
                <c:pt idx="135">
                  <c:v>-3.6800936080175428E-2</c:v>
                </c:pt>
                <c:pt idx="136">
                  <c:v>-3.6743064730214457E-2</c:v>
                </c:pt>
                <c:pt idx="137">
                  <c:v>-3.6795986393701269E-2</c:v>
                </c:pt>
                <c:pt idx="138">
                  <c:v>-3.6717610857442913E-2</c:v>
                </c:pt>
                <c:pt idx="139">
                  <c:v>-3.6747476004108062E-2</c:v>
                </c:pt>
                <c:pt idx="140">
                  <c:v>-3.6696369570543688E-2</c:v>
                </c:pt>
                <c:pt idx="141">
                  <c:v>-3.6691964637742713E-2</c:v>
                </c:pt>
                <c:pt idx="142">
                  <c:v>-3.6751548302616517E-2</c:v>
                </c:pt>
                <c:pt idx="143">
                  <c:v>-3.665418370352784E-2</c:v>
                </c:pt>
                <c:pt idx="144">
                  <c:v>-3.6614239001316551E-2</c:v>
                </c:pt>
                <c:pt idx="145">
                  <c:v>-3.6635005649965913E-2</c:v>
                </c:pt>
                <c:pt idx="146">
                  <c:v>-3.664547334283455E-2</c:v>
                </c:pt>
                <c:pt idx="147">
                  <c:v>-3.6627861315608412E-2</c:v>
                </c:pt>
                <c:pt idx="148">
                  <c:v>-3.6591931216118798E-2</c:v>
                </c:pt>
                <c:pt idx="149">
                  <c:v>-3.659477907441587E-2</c:v>
                </c:pt>
                <c:pt idx="150">
                  <c:v>-3.6726102530626782E-2</c:v>
                </c:pt>
                <c:pt idx="151">
                  <c:v>-3.6693542974166861E-2</c:v>
                </c:pt>
                <c:pt idx="152">
                  <c:v>-3.6704531237689977E-2</c:v>
                </c:pt>
                <c:pt idx="153">
                  <c:v>-3.6538083425460353E-2</c:v>
                </c:pt>
                <c:pt idx="154">
                  <c:v>-3.6459526026186989E-2</c:v>
                </c:pt>
                <c:pt idx="155">
                  <c:v>-3.6401688583843315E-2</c:v>
                </c:pt>
                <c:pt idx="156">
                  <c:v>-3.6320145555478744E-2</c:v>
                </c:pt>
                <c:pt idx="157">
                  <c:v>-3.6221495019033552E-2</c:v>
                </c:pt>
                <c:pt idx="158">
                  <c:v>-3.6098555789310469E-2</c:v>
                </c:pt>
                <c:pt idx="159">
                  <c:v>-3.6144411762550642E-2</c:v>
                </c:pt>
                <c:pt idx="160">
                  <c:v>-3.6083065559810695E-2</c:v>
                </c:pt>
                <c:pt idx="161">
                  <c:v>-3.6108080645275126E-2</c:v>
                </c:pt>
                <c:pt idx="162">
                  <c:v>-3.6065238474754617E-2</c:v>
                </c:pt>
                <c:pt idx="163">
                  <c:v>-3.6066401910224984E-2</c:v>
                </c:pt>
                <c:pt idx="164">
                  <c:v>-3.5996567755512694E-2</c:v>
                </c:pt>
                <c:pt idx="165">
                  <c:v>-3.6005271328846303E-2</c:v>
                </c:pt>
                <c:pt idx="166">
                  <c:v>-3.602266063228346E-2</c:v>
                </c:pt>
                <c:pt idx="167">
                  <c:v>-3.5967748611303946E-2</c:v>
                </c:pt>
                <c:pt idx="168">
                  <c:v>-3.6022392635793883E-2</c:v>
                </c:pt>
                <c:pt idx="169">
                  <c:v>-3.5991013263419934E-2</c:v>
                </c:pt>
                <c:pt idx="170">
                  <c:v>-3.6028167676324704E-2</c:v>
                </c:pt>
                <c:pt idx="171">
                  <c:v>-3.5952987356596612E-2</c:v>
                </c:pt>
                <c:pt idx="172">
                  <c:v>-3.5900340023520286E-2</c:v>
                </c:pt>
                <c:pt idx="173">
                  <c:v>-3.5867910595210557E-2</c:v>
                </c:pt>
                <c:pt idx="174">
                  <c:v>-3.5872169760255861E-2</c:v>
                </c:pt>
                <c:pt idx="175">
                  <c:v>-3.5889432550362386E-2</c:v>
                </c:pt>
                <c:pt idx="176">
                  <c:v>-3.5797812645005415E-2</c:v>
                </c:pt>
                <c:pt idx="177">
                  <c:v>-3.5780258240852979E-2</c:v>
                </c:pt>
                <c:pt idx="178">
                  <c:v>-3.5911433595017542E-2</c:v>
                </c:pt>
                <c:pt idx="179">
                  <c:v>-3.5771983883640272E-2</c:v>
                </c:pt>
                <c:pt idx="180">
                  <c:v>-3.5771704362246054E-2</c:v>
                </c:pt>
                <c:pt idx="181">
                  <c:v>-3.5750465151607368E-2</c:v>
                </c:pt>
                <c:pt idx="182">
                  <c:v>-3.5757567116505233E-2</c:v>
                </c:pt>
                <c:pt idx="183">
                  <c:v>-3.5759294331832753E-2</c:v>
                </c:pt>
                <c:pt idx="184">
                  <c:v>-3.5652088027901124E-2</c:v>
                </c:pt>
                <c:pt idx="185">
                  <c:v>-3.564585806142849E-2</c:v>
                </c:pt>
                <c:pt idx="186">
                  <c:v>-3.5437113743470097E-2</c:v>
                </c:pt>
                <c:pt idx="187">
                  <c:v>-3.5436691826650192E-2</c:v>
                </c:pt>
                <c:pt idx="188">
                  <c:v>-3.5257966681687125E-2</c:v>
                </c:pt>
                <c:pt idx="189">
                  <c:v>-3.5048586352172902E-2</c:v>
                </c:pt>
                <c:pt idx="190">
                  <c:v>-3.504827057669839E-2</c:v>
                </c:pt>
                <c:pt idx="191">
                  <c:v>-3.5041367170692082E-2</c:v>
                </c:pt>
                <c:pt idx="192">
                  <c:v>-3.4798828055002722E-2</c:v>
                </c:pt>
                <c:pt idx="193">
                  <c:v>-3.4294839039319715E-2</c:v>
                </c:pt>
                <c:pt idx="194">
                  <c:v>-3.4618543632782474E-2</c:v>
                </c:pt>
                <c:pt idx="195">
                  <c:v>-3.4434136466702313E-2</c:v>
                </c:pt>
                <c:pt idx="196">
                  <c:v>-3.4413610140826958E-2</c:v>
                </c:pt>
                <c:pt idx="197">
                  <c:v>-3.3968974173239491E-2</c:v>
                </c:pt>
                <c:pt idx="198">
                  <c:v>-3.3843050614890416E-2</c:v>
                </c:pt>
                <c:pt idx="199">
                  <c:v>-3.369762088901343E-2</c:v>
                </c:pt>
                <c:pt idx="200">
                  <c:v>-3.3678673006286755E-2</c:v>
                </c:pt>
                <c:pt idx="201">
                  <c:v>-3.3582160291004075E-2</c:v>
                </c:pt>
                <c:pt idx="202">
                  <c:v>-3.3019762702211838E-2</c:v>
                </c:pt>
                <c:pt idx="203">
                  <c:v>-3.2936011867254311E-2</c:v>
                </c:pt>
                <c:pt idx="204">
                  <c:v>-3.293594118756496E-2</c:v>
                </c:pt>
                <c:pt idx="205">
                  <c:v>-3.2698276751985722E-2</c:v>
                </c:pt>
                <c:pt idx="206">
                  <c:v>-3.2673440912297118E-2</c:v>
                </c:pt>
                <c:pt idx="207">
                  <c:v>-3.267352820354294E-2</c:v>
                </c:pt>
                <c:pt idx="208">
                  <c:v>-3.2597734428768024E-2</c:v>
                </c:pt>
                <c:pt idx="209">
                  <c:v>-3.2369504527241695E-2</c:v>
                </c:pt>
                <c:pt idx="210">
                  <c:v>-3.2379856003400771E-2</c:v>
                </c:pt>
                <c:pt idx="211">
                  <c:v>-3.2379604262762214E-2</c:v>
                </c:pt>
                <c:pt idx="212">
                  <c:v>-3.2375683562925459E-2</c:v>
                </c:pt>
                <c:pt idx="213">
                  <c:v>-3.2107096814145329E-2</c:v>
                </c:pt>
                <c:pt idx="214">
                  <c:v>-3.211607619673261E-2</c:v>
                </c:pt>
                <c:pt idx="215">
                  <c:v>-3.2070606282427819E-2</c:v>
                </c:pt>
                <c:pt idx="216">
                  <c:v>-3.2077234802789095E-2</c:v>
                </c:pt>
                <c:pt idx="217">
                  <c:v>-3.1874072078287262E-2</c:v>
                </c:pt>
                <c:pt idx="218">
                  <c:v>-3.1594095955911554E-2</c:v>
                </c:pt>
                <c:pt idx="219">
                  <c:v>-3.1349339710117545E-2</c:v>
                </c:pt>
                <c:pt idx="220">
                  <c:v>-3.134714853929009E-2</c:v>
                </c:pt>
                <c:pt idx="221">
                  <c:v>-3.1287817918259249E-2</c:v>
                </c:pt>
                <c:pt idx="222">
                  <c:v>-3.0999821603408018E-2</c:v>
                </c:pt>
                <c:pt idx="223">
                  <c:v>-3.0991487648224722E-2</c:v>
                </c:pt>
                <c:pt idx="224">
                  <c:v>-3.0823556428102954E-2</c:v>
                </c:pt>
                <c:pt idx="225">
                  <c:v>-3.0827465889894906E-2</c:v>
                </c:pt>
                <c:pt idx="226">
                  <c:v>-3.0796584274473054E-2</c:v>
                </c:pt>
                <c:pt idx="227">
                  <c:v>-3.0704275739955475E-2</c:v>
                </c:pt>
                <c:pt idx="228">
                  <c:v>-3.0717415500949124E-2</c:v>
                </c:pt>
                <c:pt idx="229">
                  <c:v>-3.0575893428858546E-2</c:v>
                </c:pt>
                <c:pt idx="230">
                  <c:v>-3.0556223348805214E-2</c:v>
                </c:pt>
                <c:pt idx="231">
                  <c:v>-3.0488742733394358E-2</c:v>
                </c:pt>
                <c:pt idx="232">
                  <c:v>-3.0532588460409241E-2</c:v>
                </c:pt>
                <c:pt idx="233">
                  <c:v>-3.0493215988722729E-2</c:v>
                </c:pt>
                <c:pt idx="234">
                  <c:v>-3.0489779686164419E-2</c:v>
                </c:pt>
                <c:pt idx="235">
                  <c:v>-3.039914309236277E-2</c:v>
                </c:pt>
                <c:pt idx="236">
                  <c:v>-3.0405545911263463E-2</c:v>
                </c:pt>
                <c:pt idx="237">
                  <c:v>-3.0385804667641663E-2</c:v>
                </c:pt>
                <c:pt idx="238">
                  <c:v>-3.0382586983545522E-2</c:v>
                </c:pt>
                <c:pt idx="239">
                  <c:v>-3.0391384580080241E-2</c:v>
                </c:pt>
                <c:pt idx="240">
                  <c:v>-3.0326875223827026E-2</c:v>
                </c:pt>
                <c:pt idx="241">
                  <c:v>-3.0307510455041937E-2</c:v>
                </c:pt>
                <c:pt idx="242">
                  <c:v>-3.0267821765891892E-2</c:v>
                </c:pt>
                <c:pt idx="243">
                  <c:v>-3.015388068701946E-2</c:v>
                </c:pt>
                <c:pt idx="244">
                  <c:v>-3.0132698767941456E-2</c:v>
                </c:pt>
                <c:pt idx="245">
                  <c:v>-3.0119379215408464E-2</c:v>
                </c:pt>
                <c:pt idx="246">
                  <c:v>-3.0113647523556081E-2</c:v>
                </c:pt>
                <c:pt idx="247">
                  <c:v>-3.0103044810537327E-2</c:v>
                </c:pt>
                <c:pt idx="248">
                  <c:v>-3.0087831930002418E-2</c:v>
                </c:pt>
                <c:pt idx="249">
                  <c:v>-2.9896222154799954E-2</c:v>
                </c:pt>
                <c:pt idx="250">
                  <c:v>-2.990506317645085E-2</c:v>
                </c:pt>
                <c:pt idx="251">
                  <c:v>-2.9753749869747669E-2</c:v>
                </c:pt>
                <c:pt idx="252">
                  <c:v>-2.9745916758565069E-2</c:v>
                </c:pt>
                <c:pt idx="253">
                  <c:v>-2.9731898594788229E-2</c:v>
                </c:pt>
                <c:pt idx="254">
                  <c:v>-2.9531960452607611E-2</c:v>
                </c:pt>
                <c:pt idx="255">
                  <c:v>-2.9542426461242898E-2</c:v>
                </c:pt>
                <c:pt idx="256">
                  <c:v>-2.9992503174866139E-2</c:v>
                </c:pt>
                <c:pt idx="257">
                  <c:v>-3.0047772244034304E-2</c:v>
                </c:pt>
                <c:pt idx="258">
                  <c:v>-3.005218331774678E-2</c:v>
                </c:pt>
                <c:pt idx="259">
                  <c:v>-2.9949510793201774E-2</c:v>
                </c:pt>
                <c:pt idx="260">
                  <c:v>-2.9945949781789397E-2</c:v>
                </c:pt>
                <c:pt idx="261">
                  <c:v>-2.9865817646797618E-2</c:v>
                </c:pt>
                <c:pt idx="262">
                  <c:v>-2.9874309083910904E-2</c:v>
                </c:pt>
                <c:pt idx="263">
                  <c:v>-2.9897771198467385E-2</c:v>
                </c:pt>
                <c:pt idx="264">
                  <c:v>-2.9888838236453424E-2</c:v>
                </c:pt>
                <c:pt idx="265">
                  <c:v>-2.9927122791925467E-2</c:v>
                </c:pt>
                <c:pt idx="266">
                  <c:v>-2.988613068774721E-2</c:v>
                </c:pt>
                <c:pt idx="267">
                  <c:v>-2.9796262815741097E-2</c:v>
                </c:pt>
                <c:pt idx="268">
                  <c:v>-2.9805999093447347E-2</c:v>
                </c:pt>
                <c:pt idx="269">
                  <c:v>-2.9888944757280413E-2</c:v>
                </c:pt>
                <c:pt idx="270">
                  <c:v>-2.9980335402551461E-2</c:v>
                </c:pt>
                <c:pt idx="271">
                  <c:v>-2.9735247527704678E-2</c:v>
                </c:pt>
                <c:pt idx="272">
                  <c:v>-2.9711199147967503E-2</c:v>
                </c:pt>
                <c:pt idx="273">
                  <c:v>-2.9745577373252785E-2</c:v>
                </c:pt>
                <c:pt idx="274">
                  <c:v>-2.9783170132109692E-2</c:v>
                </c:pt>
                <c:pt idx="275">
                  <c:v>-2.9780323481316609E-2</c:v>
                </c:pt>
                <c:pt idx="276">
                  <c:v>-2.9752866325244355E-2</c:v>
                </c:pt>
                <c:pt idx="277">
                  <c:v>-2.9737814456801629E-2</c:v>
                </c:pt>
                <c:pt idx="278">
                  <c:v>-2.9976784470739128E-2</c:v>
                </c:pt>
                <c:pt idx="279">
                  <c:v>-3.0123626366229263E-2</c:v>
                </c:pt>
                <c:pt idx="280">
                  <c:v>-3.0065964792532537E-2</c:v>
                </c:pt>
                <c:pt idx="281">
                  <c:v>-2.9819960936383144E-2</c:v>
                </c:pt>
                <c:pt idx="282">
                  <c:v>-2.919329036505685E-2</c:v>
                </c:pt>
                <c:pt idx="283">
                  <c:v>-2.9207133235041326E-2</c:v>
                </c:pt>
                <c:pt idx="284">
                  <c:v>-2.9147837615850904E-2</c:v>
                </c:pt>
                <c:pt idx="285">
                  <c:v>-2.912684007834259E-2</c:v>
                </c:pt>
                <c:pt idx="286">
                  <c:v>-2.9066540272762613E-2</c:v>
                </c:pt>
                <c:pt idx="287">
                  <c:v>-2.9030521516246115E-2</c:v>
                </c:pt>
                <c:pt idx="288">
                  <c:v>-2.9028338129460686E-2</c:v>
                </c:pt>
                <c:pt idx="289">
                  <c:v>-2.9036141004070683E-2</c:v>
                </c:pt>
                <c:pt idx="290">
                  <c:v>-2.8992833513575393E-2</c:v>
                </c:pt>
                <c:pt idx="291">
                  <c:v>-2.9000776742951932E-2</c:v>
                </c:pt>
                <c:pt idx="292">
                  <c:v>-2.9104140348402745E-2</c:v>
                </c:pt>
                <c:pt idx="293">
                  <c:v>-2.9088045125250171E-2</c:v>
                </c:pt>
                <c:pt idx="294">
                  <c:v>-2.859834774404825E-2</c:v>
                </c:pt>
                <c:pt idx="295">
                  <c:v>-2.8412303463338381E-2</c:v>
                </c:pt>
                <c:pt idx="296">
                  <c:v>-2.8282944744477699E-2</c:v>
                </c:pt>
                <c:pt idx="297">
                  <c:v>-2.8180991756349288E-2</c:v>
                </c:pt>
                <c:pt idx="298">
                  <c:v>-2.8188987385083467E-2</c:v>
                </c:pt>
                <c:pt idx="299">
                  <c:v>-2.8186555472562672E-2</c:v>
                </c:pt>
                <c:pt idx="300">
                  <c:v>-2.7939572741721166E-2</c:v>
                </c:pt>
                <c:pt idx="301">
                  <c:v>-2.7949928156930877E-2</c:v>
                </c:pt>
                <c:pt idx="302">
                  <c:v>-2.7928679517898854E-2</c:v>
                </c:pt>
                <c:pt idx="303">
                  <c:v>-2.7931524251527912E-2</c:v>
                </c:pt>
                <c:pt idx="304">
                  <c:v>-2.7734274863162902E-2</c:v>
                </c:pt>
                <c:pt idx="305">
                  <c:v>-2.7535337751475569E-2</c:v>
                </c:pt>
                <c:pt idx="306">
                  <c:v>-2.7383915231333558E-2</c:v>
                </c:pt>
                <c:pt idx="307">
                  <c:v>-2.7388465650229146E-2</c:v>
                </c:pt>
                <c:pt idx="308">
                  <c:v>-2.7402053497715441E-2</c:v>
                </c:pt>
                <c:pt idx="309">
                  <c:v>-2.7400480791959045E-2</c:v>
                </c:pt>
                <c:pt idx="310">
                  <c:v>-2.7314963033808495E-2</c:v>
                </c:pt>
                <c:pt idx="311">
                  <c:v>-2.7275557117436983E-2</c:v>
                </c:pt>
                <c:pt idx="312">
                  <c:v>-2.7207589630392711E-2</c:v>
                </c:pt>
                <c:pt idx="313">
                  <c:v>-2.7164667207195691E-2</c:v>
                </c:pt>
                <c:pt idx="314">
                  <c:v>-2.7095930796037278E-2</c:v>
                </c:pt>
                <c:pt idx="315">
                  <c:v>-2.6036321785309929E-2</c:v>
                </c:pt>
                <c:pt idx="316">
                  <c:v>-2.6012686409838073E-2</c:v>
                </c:pt>
                <c:pt idx="317">
                  <c:v>-2.5944730517625456E-2</c:v>
                </c:pt>
                <c:pt idx="318">
                  <c:v>-2.5697890298137627E-2</c:v>
                </c:pt>
                <c:pt idx="319">
                  <c:v>-2.5363736870644298E-2</c:v>
                </c:pt>
                <c:pt idx="320">
                  <c:v>-2.5370094029188009E-2</c:v>
                </c:pt>
                <c:pt idx="321">
                  <c:v>-2.5407239013310226E-2</c:v>
                </c:pt>
                <c:pt idx="322">
                  <c:v>-2.5442989098426613E-2</c:v>
                </c:pt>
                <c:pt idx="323">
                  <c:v>-2.5186159184865758E-2</c:v>
                </c:pt>
                <c:pt idx="324">
                  <c:v>-2.3610723594019299E-2</c:v>
                </c:pt>
                <c:pt idx="325">
                  <c:v>-2.3646474299041664E-2</c:v>
                </c:pt>
                <c:pt idx="326">
                  <c:v>-2.364228378051229E-2</c:v>
                </c:pt>
                <c:pt idx="327">
                  <c:v>-2.3655505805735649E-2</c:v>
                </c:pt>
                <c:pt idx="328">
                  <c:v>-2.3636591530940713E-2</c:v>
                </c:pt>
                <c:pt idx="329">
                  <c:v>-2.3618720870844972E-2</c:v>
                </c:pt>
                <c:pt idx="330">
                  <c:v>-2.361709752917374E-2</c:v>
                </c:pt>
                <c:pt idx="331">
                  <c:v>-2.3511681026995929E-2</c:v>
                </c:pt>
                <c:pt idx="332">
                  <c:v>-2.3475586605974527E-2</c:v>
                </c:pt>
                <c:pt idx="333">
                  <c:v>-2.3471424013953957E-2</c:v>
                </c:pt>
                <c:pt idx="334">
                  <c:v>-2.3386094230469192E-2</c:v>
                </c:pt>
                <c:pt idx="335">
                  <c:v>-2.3208191252954823E-2</c:v>
                </c:pt>
                <c:pt idx="336">
                  <c:v>-2.3089871243083912E-2</c:v>
                </c:pt>
                <c:pt idx="337">
                  <c:v>-2.258923659762184E-2</c:v>
                </c:pt>
                <c:pt idx="338">
                  <c:v>-2.2590052753717147E-2</c:v>
                </c:pt>
                <c:pt idx="339">
                  <c:v>-2.2593294467108588E-2</c:v>
                </c:pt>
                <c:pt idx="340">
                  <c:v>-2.2600261967672116E-2</c:v>
                </c:pt>
                <c:pt idx="341">
                  <c:v>-2.2520248531726669E-2</c:v>
                </c:pt>
                <c:pt idx="342">
                  <c:v>-2.2476520807023628E-2</c:v>
                </c:pt>
                <c:pt idx="343">
                  <c:v>-2.2467086079282494E-2</c:v>
                </c:pt>
                <c:pt idx="344">
                  <c:v>-2.2470744586785777E-2</c:v>
                </c:pt>
                <c:pt idx="345">
                  <c:v>-2.2465271086887388E-2</c:v>
                </c:pt>
                <c:pt idx="346">
                  <c:v>-2.2468683481099844E-2</c:v>
                </c:pt>
                <c:pt idx="347">
                  <c:v>-2.2456136509369232E-2</c:v>
                </c:pt>
                <c:pt idx="348">
                  <c:v>-2.1857645849803441E-2</c:v>
                </c:pt>
                <c:pt idx="349">
                  <c:v>-2.1796836016890333E-2</c:v>
                </c:pt>
                <c:pt idx="350">
                  <c:v>-2.1744886331160618E-2</c:v>
                </c:pt>
                <c:pt idx="351">
                  <c:v>-2.1747251058759708E-2</c:v>
                </c:pt>
                <c:pt idx="352">
                  <c:v>-2.1664118281067866E-2</c:v>
                </c:pt>
                <c:pt idx="353">
                  <c:v>-2.1500409690380091E-2</c:v>
                </c:pt>
                <c:pt idx="354">
                  <c:v>-2.1508485417685637E-2</c:v>
                </c:pt>
                <c:pt idx="355">
                  <c:v>-2.1452224401665648E-2</c:v>
                </c:pt>
                <c:pt idx="356">
                  <c:v>-2.1177809351716322E-2</c:v>
                </c:pt>
                <c:pt idx="357">
                  <c:v>-2.1000410884473002E-2</c:v>
                </c:pt>
                <c:pt idx="358">
                  <c:v>-2.1013049506909364E-2</c:v>
                </c:pt>
                <c:pt idx="359">
                  <c:v>-2.0979395715267725E-2</c:v>
                </c:pt>
                <c:pt idx="360">
                  <c:v>-2.0981220312795194E-2</c:v>
                </c:pt>
                <c:pt idx="361">
                  <c:v>-2.0995899539143111E-2</c:v>
                </c:pt>
                <c:pt idx="362">
                  <c:v>-2.0690183178747167E-2</c:v>
                </c:pt>
                <c:pt idx="363">
                  <c:v>-2.0820649006907881E-2</c:v>
                </c:pt>
                <c:pt idx="364">
                  <c:v>-2.0821798983694208E-2</c:v>
                </c:pt>
                <c:pt idx="365">
                  <c:v>-2.0727062456640254E-2</c:v>
                </c:pt>
                <c:pt idx="366">
                  <c:v>-2.0731576695519782E-2</c:v>
                </c:pt>
                <c:pt idx="367">
                  <c:v>-2.0711651950529427E-2</c:v>
                </c:pt>
                <c:pt idx="368">
                  <c:v>-2.0745977734305723E-2</c:v>
                </c:pt>
                <c:pt idx="369">
                  <c:v>-2.0745330607155742E-2</c:v>
                </c:pt>
                <c:pt idx="370">
                  <c:v>-2.0991523810237851E-2</c:v>
                </c:pt>
                <c:pt idx="371">
                  <c:v>-2.0961748292231526E-2</c:v>
                </c:pt>
                <c:pt idx="372">
                  <c:v>-2.086740646982873E-2</c:v>
                </c:pt>
                <c:pt idx="373">
                  <c:v>-2.0854990418094622E-2</c:v>
                </c:pt>
                <c:pt idx="374">
                  <c:v>-2.085157262054383E-2</c:v>
                </c:pt>
                <c:pt idx="375">
                  <c:v>-2.0806653209614383E-2</c:v>
                </c:pt>
                <c:pt idx="376">
                  <c:v>-2.07935746590047E-2</c:v>
                </c:pt>
                <c:pt idx="377">
                  <c:v>-2.0678934304177481E-2</c:v>
                </c:pt>
                <c:pt idx="378">
                  <c:v>-2.077381769492221E-2</c:v>
                </c:pt>
                <c:pt idx="379">
                  <c:v>-2.0872059033091559E-2</c:v>
                </c:pt>
                <c:pt idx="380">
                  <c:v>-2.0582121339843908E-2</c:v>
                </c:pt>
                <c:pt idx="381">
                  <c:v>-2.0448813153247529E-2</c:v>
                </c:pt>
                <c:pt idx="382">
                  <c:v>-2.037520290737501E-2</c:v>
                </c:pt>
                <c:pt idx="383">
                  <c:v>-2.0302628164007283E-2</c:v>
                </c:pt>
                <c:pt idx="384">
                  <c:v>-2.0209006256982562E-2</c:v>
                </c:pt>
                <c:pt idx="385">
                  <c:v>-2.0204496406882263E-2</c:v>
                </c:pt>
                <c:pt idx="386">
                  <c:v>-2.0206548741466372E-2</c:v>
                </c:pt>
                <c:pt idx="387">
                  <c:v>-2.0147925101037127E-2</c:v>
                </c:pt>
                <c:pt idx="388">
                  <c:v>-2.0180774176757992E-2</c:v>
                </c:pt>
                <c:pt idx="389">
                  <c:v>-2.0143022780686321E-2</c:v>
                </c:pt>
                <c:pt idx="390">
                  <c:v>-2.0110506912613853E-2</c:v>
                </c:pt>
                <c:pt idx="391">
                  <c:v>-2.0114703345578234E-2</c:v>
                </c:pt>
                <c:pt idx="392">
                  <c:v>-1.9911105740938882E-2</c:v>
                </c:pt>
                <c:pt idx="393">
                  <c:v>-1.9913013902976721E-2</c:v>
                </c:pt>
                <c:pt idx="394">
                  <c:v>-1.9940504130438828E-2</c:v>
                </c:pt>
                <c:pt idx="395">
                  <c:v>-1.9874353052873866E-2</c:v>
                </c:pt>
                <c:pt idx="396">
                  <c:v>-1.9878530622056641E-2</c:v>
                </c:pt>
                <c:pt idx="397">
                  <c:v>-1.9887689159863123E-2</c:v>
                </c:pt>
                <c:pt idx="398">
                  <c:v>-1.9839677594880416E-2</c:v>
                </c:pt>
                <c:pt idx="399">
                  <c:v>-1.98426634918142E-2</c:v>
                </c:pt>
                <c:pt idx="400">
                  <c:v>-1.9541982928199812E-2</c:v>
                </c:pt>
                <c:pt idx="401">
                  <c:v>-1.9646945054845783E-2</c:v>
                </c:pt>
                <c:pt idx="402">
                  <c:v>-1.9821476139780653E-2</c:v>
                </c:pt>
                <c:pt idx="403">
                  <c:v>-1.9815494055971047E-2</c:v>
                </c:pt>
                <c:pt idx="404">
                  <c:v>-1.9750017616393903E-2</c:v>
                </c:pt>
                <c:pt idx="405">
                  <c:v>-1.9717762816551819E-2</c:v>
                </c:pt>
                <c:pt idx="406">
                  <c:v>-1.9708523349366923E-2</c:v>
                </c:pt>
                <c:pt idx="407">
                  <c:v>-1.9659953067603625E-2</c:v>
                </c:pt>
                <c:pt idx="408">
                  <c:v>-1.9703198689788884E-2</c:v>
                </c:pt>
                <c:pt idx="409">
                  <c:v>-1.9643142957807069E-2</c:v>
                </c:pt>
                <c:pt idx="410">
                  <c:v>-1.9635401686339298E-2</c:v>
                </c:pt>
                <c:pt idx="411">
                  <c:v>-1.9583341315502299E-2</c:v>
                </c:pt>
                <c:pt idx="412">
                  <c:v>-1.9594339872519434E-2</c:v>
                </c:pt>
                <c:pt idx="413">
                  <c:v>-1.9624006700971298E-2</c:v>
                </c:pt>
                <c:pt idx="414">
                  <c:v>-2.0097997266846468E-2</c:v>
                </c:pt>
                <c:pt idx="415">
                  <c:v>-2.0087529621852118E-2</c:v>
                </c:pt>
                <c:pt idx="416">
                  <c:v>-2.0064165302577354E-2</c:v>
                </c:pt>
                <c:pt idx="417">
                  <c:v>-2.0072470730068778E-2</c:v>
                </c:pt>
                <c:pt idx="418">
                  <c:v>-2.0087461159018223E-2</c:v>
                </c:pt>
                <c:pt idx="419">
                  <c:v>-2.0094841487895358E-2</c:v>
                </c:pt>
                <c:pt idx="420">
                  <c:v>-2.0051543128319648E-2</c:v>
                </c:pt>
                <c:pt idx="421">
                  <c:v>-2.0049909853240785E-2</c:v>
                </c:pt>
                <c:pt idx="422">
                  <c:v>-2.0052812543142798E-2</c:v>
                </c:pt>
                <c:pt idx="423">
                  <c:v>-2.0023867219451635E-2</c:v>
                </c:pt>
                <c:pt idx="424">
                  <c:v>-2.0021231340734101E-2</c:v>
                </c:pt>
                <c:pt idx="425">
                  <c:v>-1.9962070164159795E-2</c:v>
                </c:pt>
                <c:pt idx="426">
                  <c:v>-1.9958784486513285E-2</c:v>
                </c:pt>
                <c:pt idx="427">
                  <c:v>-1.9988588404947702E-2</c:v>
                </c:pt>
                <c:pt idx="428">
                  <c:v>-2.0168950894612455E-2</c:v>
                </c:pt>
                <c:pt idx="429">
                  <c:v>-2.0186052799437137E-2</c:v>
                </c:pt>
                <c:pt idx="430">
                  <c:v>-2.0319943377842382E-2</c:v>
                </c:pt>
                <c:pt idx="431">
                  <c:v>-2.0407058030123326E-2</c:v>
                </c:pt>
                <c:pt idx="432">
                  <c:v>-2.0412566601526592E-2</c:v>
                </c:pt>
                <c:pt idx="433">
                  <c:v>-2.0412167813405442E-2</c:v>
                </c:pt>
                <c:pt idx="434">
                  <c:v>-2.0429446492659032E-2</c:v>
                </c:pt>
                <c:pt idx="435">
                  <c:v>-2.0436503911400401E-2</c:v>
                </c:pt>
                <c:pt idx="436">
                  <c:v>-2.0422746230314263E-2</c:v>
                </c:pt>
                <c:pt idx="437">
                  <c:v>-2.0464303769450617E-2</c:v>
                </c:pt>
                <c:pt idx="438">
                  <c:v>-2.0263310275811061E-2</c:v>
                </c:pt>
                <c:pt idx="439">
                  <c:v>-2.0251656751828231E-2</c:v>
                </c:pt>
                <c:pt idx="440">
                  <c:v>-2.0411204957141264E-2</c:v>
                </c:pt>
                <c:pt idx="441">
                  <c:v>-2.049187133295112E-2</c:v>
                </c:pt>
                <c:pt idx="442">
                  <c:v>-2.0490423826353327E-2</c:v>
                </c:pt>
                <c:pt idx="443">
                  <c:v>-2.0587712831288456E-2</c:v>
                </c:pt>
                <c:pt idx="444">
                  <c:v>-2.0919330122958393E-2</c:v>
                </c:pt>
                <c:pt idx="445">
                  <c:v>-2.0942029316209396E-2</c:v>
                </c:pt>
                <c:pt idx="446">
                  <c:v>-2.0918078174433204E-2</c:v>
                </c:pt>
                <c:pt idx="447">
                  <c:v>-2.0892363794932485E-2</c:v>
                </c:pt>
                <c:pt idx="448">
                  <c:v>-2.0916724820397498E-2</c:v>
                </c:pt>
                <c:pt idx="449">
                  <c:v>-2.0921726664569578E-2</c:v>
                </c:pt>
                <c:pt idx="450">
                  <c:v>-2.0995825229574546E-2</c:v>
                </c:pt>
                <c:pt idx="451">
                  <c:v>-2.1004487854942078E-2</c:v>
                </c:pt>
                <c:pt idx="452">
                  <c:v>-2.1037564305656658E-2</c:v>
                </c:pt>
                <c:pt idx="453">
                  <c:v>-2.0992465013612911E-2</c:v>
                </c:pt>
                <c:pt idx="454">
                  <c:v>-2.0992454117096892E-2</c:v>
                </c:pt>
                <c:pt idx="455">
                  <c:v>-2.0992185857853052E-2</c:v>
                </c:pt>
                <c:pt idx="456">
                  <c:v>-2.0938972044308987E-2</c:v>
                </c:pt>
                <c:pt idx="457">
                  <c:v>-2.0955343624408193E-2</c:v>
                </c:pt>
                <c:pt idx="458">
                  <c:v>-2.1066579651790762E-2</c:v>
                </c:pt>
                <c:pt idx="459">
                  <c:v>-2.1085455430136023E-2</c:v>
                </c:pt>
                <c:pt idx="460">
                  <c:v>-2.1058138501208464E-2</c:v>
                </c:pt>
                <c:pt idx="461">
                  <c:v>-2.1058467422112356E-2</c:v>
                </c:pt>
                <c:pt idx="462">
                  <c:v>-2.1001817839316296E-2</c:v>
                </c:pt>
                <c:pt idx="463">
                  <c:v>-2.1002399868459962E-2</c:v>
                </c:pt>
                <c:pt idx="464">
                  <c:v>-2.1006844913220551E-2</c:v>
                </c:pt>
                <c:pt idx="465">
                  <c:v>-2.1005794091041852E-2</c:v>
                </c:pt>
                <c:pt idx="466">
                  <c:v>-2.1002772807228107E-2</c:v>
                </c:pt>
                <c:pt idx="467">
                  <c:v>-2.0959181764414352E-2</c:v>
                </c:pt>
                <c:pt idx="468">
                  <c:v>-2.0995420208247507E-2</c:v>
                </c:pt>
                <c:pt idx="469">
                  <c:v>-2.1034968821038641E-2</c:v>
                </c:pt>
                <c:pt idx="470">
                  <c:v>-2.2254726906615709E-2</c:v>
                </c:pt>
                <c:pt idx="471">
                  <c:v>-2.2438050835359494E-2</c:v>
                </c:pt>
                <c:pt idx="472">
                  <c:v>-2.2416871789960963E-2</c:v>
                </c:pt>
                <c:pt idx="473">
                  <c:v>-2.2425445470192804E-2</c:v>
                </c:pt>
                <c:pt idx="474">
                  <c:v>-2.2511544462036036E-2</c:v>
                </c:pt>
                <c:pt idx="475">
                  <c:v>-2.2534840531808664E-2</c:v>
                </c:pt>
                <c:pt idx="476">
                  <c:v>-2.2594241928587232E-2</c:v>
                </c:pt>
                <c:pt idx="477">
                  <c:v>-2.2621976668910516E-2</c:v>
                </c:pt>
                <c:pt idx="478">
                  <c:v>-2.2608146342155164E-2</c:v>
                </c:pt>
                <c:pt idx="479">
                  <c:v>-2.256156542457248E-2</c:v>
                </c:pt>
                <c:pt idx="480">
                  <c:v>-2.2643151043887172E-2</c:v>
                </c:pt>
                <c:pt idx="481">
                  <c:v>-2.2645645902477959E-2</c:v>
                </c:pt>
                <c:pt idx="482">
                  <c:v>-2.2592991418087762E-2</c:v>
                </c:pt>
                <c:pt idx="483">
                  <c:v>-2.2768122300412169E-2</c:v>
                </c:pt>
                <c:pt idx="484">
                  <c:v>-2.2816070465857274E-2</c:v>
                </c:pt>
                <c:pt idx="485">
                  <c:v>-2.2821667764965779E-2</c:v>
                </c:pt>
                <c:pt idx="486">
                  <c:v>-2.2913650035321066E-2</c:v>
                </c:pt>
                <c:pt idx="487">
                  <c:v>-2.2889297802629476E-2</c:v>
                </c:pt>
                <c:pt idx="488">
                  <c:v>-2.28883343152811E-2</c:v>
                </c:pt>
                <c:pt idx="489">
                  <c:v>-2.2947838701398739E-2</c:v>
                </c:pt>
                <c:pt idx="490">
                  <c:v>-2.3084519356659158E-2</c:v>
                </c:pt>
                <c:pt idx="491">
                  <c:v>-2.3119551666501908E-2</c:v>
                </c:pt>
                <c:pt idx="492">
                  <c:v>-2.3115443137397149E-2</c:v>
                </c:pt>
                <c:pt idx="493">
                  <c:v>-2.3114624885485938E-2</c:v>
                </c:pt>
                <c:pt idx="494">
                  <c:v>-2.3267933774948908E-2</c:v>
                </c:pt>
                <c:pt idx="495">
                  <c:v>-2.3347394494635031E-2</c:v>
                </c:pt>
                <c:pt idx="496">
                  <c:v>-2.3336605918566941E-2</c:v>
                </c:pt>
                <c:pt idx="497">
                  <c:v>-2.3334745531253399E-2</c:v>
                </c:pt>
                <c:pt idx="498">
                  <c:v>-2.333504728767415E-2</c:v>
                </c:pt>
                <c:pt idx="499">
                  <c:v>-2.3536212855774463E-2</c:v>
                </c:pt>
                <c:pt idx="500">
                  <c:v>-2.3531061421611228E-2</c:v>
                </c:pt>
                <c:pt idx="501">
                  <c:v>-2.3492940383032346E-2</c:v>
                </c:pt>
                <c:pt idx="502">
                  <c:v>-2.3491396186759651E-2</c:v>
                </c:pt>
                <c:pt idx="503">
                  <c:v>-2.3487143617519857E-2</c:v>
                </c:pt>
                <c:pt idx="504">
                  <c:v>-2.3474770270013365E-2</c:v>
                </c:pt>
                <c:pt idx="505">
                  <c:v>-2.3530698027707391E-2</c:v>
                </c:pt>
                <c:pt idx="506">
                  <c:v>-2.2958501639175101E-2</c:v>
                </c:pt>
                <c:pt idx="507">
                  <c:v>-2.3468514747370862E-2</c:v>
                </c:pt>
                <c:pt idx="508">
                  <c:v>-2.3488575716104382E-2</c:v>
                </c:pt>
                <c:pt idx="509">
                  <c:v>-2.3499258718008256E-2</c:v>
                </c:pt>
                <c:pt idx="510">
                  <c:v>-2.3555957622767451E-2</c:v>
                </c:pt>
                <c:pt idx="511">
                  <c:v>-2.3594098314020161E-2</c:v>
                </c:pt>
                <c:pt idx="512">
                  <c:v>-2.3586393724516003E-2</c:v>
                </c:pt>
                <c:pt idx="513">
                  <c:v>-2.3613056720484707E-2</c:v>
                </c:pt>
                <c:pt idx="514">
                  <c:v>-2.3605359861821759E-2</c:v>
                </c:pt>
                <c:pt idx="515">
                  <c:v>-2.3584646730417862E-2</c:v>
                </c:pt>
                <c:pt idx="516">
                  <c:v>-2.3589380416467336E-2</c:v>
                </c:pt>
                <c:pt idx="517">
                  <c:v>-2.3579869740094919E-2</c:v>
                </c:pt>
                <c:pt idx="518">
                  <c:v>-2.3569670050606881E-2</c:v>
                </c:pt>
                <c:pt idx="519">
                  <c:v>-2.3470816393728527E-2</c:v>
                </c:pt>
                <c:pt idx="520">
                  <c:v>-2.3315657289989886E-2</c:v>
                </c:pt>
                <c:pt idx="521">
                  <c:v>-2.3304356951927677E-2</c:v>
                </c:pt>
                <c:pt idx="522">
                  <c:v>-2.3290105381685047E-2</c:v>
                </c:pt>
                <c:pt idx="523">
                  <c:v>-2.3192066190148575E-2</c:v>
                </c:pt>
                <c:pt idx="524">
                  <c:v>-2.3128286931232072E-2</c:v>
                </c:pt>
                <c:pt idx="525">
                  <c:v>-2.3172036313565323E-2</c:v>
                </c:pt>
                <c:pt idx="526">
                  <c:v>-2.3162632747234919E-2</c:v>
                </c:pt>
                <c:pt idx="527">
                  <c:v>-2.3349676738104789E-2</c:v>
                </c:pt>
                <c:pt idx="528">
                  <c:v>-2.3046464206475464E-2</c:v>
                </c:pt>
                <c:pt idx="529">
                  <c:v>-2.2834447677861334E-2</c:v>
                </c:pt>
                <c:pt idx="530">
                  <c:v>-2.2847851752355892E-2</c:v>
                </c:pt>
                <c:pt idx="531">
                  <c:v>-2.2840086792655548E-2</c:v>
                </c:pt>
                <c:pt idx="532">
                  <c:v>-2.2767053978349369E-2</c:v>
                </c:pt>
                <c:pt idx="533">
                  <c:v>-2.2754072219258265E-2</c:v>
                </c:pt>
                <c:pt idx="534">
                  <c:v>-2.2739779079017985E-2</c:v>
                </c:pt>
                <c:pt idx="535">
                  <c:v>-2.2734608691532772E-2</c:v>
                </c:pt>
                <c:pt idx="536">
                  <c:v>-2.2875702677817789E-2</c:v>
                </c:pt>
                <c:pt idx="537">
                  <c:v>-2.2869310758779772E-2</c:v>
                </c:pt>
                <c:pt idx="538">
                  <c:v>-2.2832466850611847E-2</c:v>
                </c:pt>
                <c:pt idx="539">
                  <c:v>-2.3104763069460847E-2</c:v>
                </c:pt>
                <c:pt idx="540">
                  <c:v>-2.3105128475972674E-2</c:v>
                </c:pt>
                <c:pt idx="541">
                  <c:v>-2.3113508757098142E-2</c:v>
                </c:pt>
                <c:pt idx="542">
                  <c:v>-2.2971027836646521E-2</c:v>
                </c:pt>
                <c:pt idx="543">
                  <c:v>-2.2954283001771346E-2</c:v>
                </c:pt>
                <c:pt idx="544">
                  <c:v>-2.2957857772884054E-2</c:v>
                </c:pt>
                <c:pt idx="545">
                  <c:v>-2.295700942476887E-2</c:v>
                </c:pt>
                <c:pt idx="546">
                  <c:v>-2.3022316794376645E-2</c:v>
                </c:pt>
                <c:pt idx="547">
                  <c:v>-2.3225345575963542E-2</c:v>
                </c:pt>
                <c:pt idx="548">
                  <c:v>-2.3216893956872958E-2</c:v>
                </c:pt>
                <c:pt idx="549">
                  <c:v>-2.3216494787542293E-2</c:v>
                </c:pt>
                <c:pt idx="550">
                  <c:v>-2.3176748325142195E-2</c:v>
                </c:pt>
                <c:pt idx="551">
                  <c:v>-2.32953567852511E-2</c:v>
                </c:pt>
                <c:pt idx="552">
                  <c:v>-2.3360946720290134E-2</c:v>
                </c:pt>
                <c:pt idx="553">
                  <c:v>-2.340637100638384E-2</c:v>
                </c:pt>
                <c:pt idx="554">
                  <c:v>-2.3404859904334763E-2</c:v>
                </c:pt>
                <c:pt idx="555">
                  <c:v>-2.3388114150864614E-2</c:v>
                </c:pt>
                <c:pt idx="556">
                  <c:v>-2.3441949459656702E-2</c:v>
                </c:pt>
                <c:pt idx="557">
                  <c:v>-2.3441717817292318E-2</c:v>
                </c:pt>
                <c:pt idx="558">
                  <c:v>-2.3447979389992959E-2</c:v>
                </c:pt>
                <c:pt idx="559">
                  <c:v>-2.3445524902075795E-2</c:v>
                </c:pt>
                <c:pt idx="560">
                  <c:v>-2.3414177282311245E-2</c:v>
                </c:pt>
                <c:pt idx="561">
                  <c:v>-2.3419943462312295E-2</c:v>
                </c:pt>
                <c:pt idx="562">
                  <c:v>-2.3423054511513729E-2</c:v>
                </c:pt>
                <c:pt idx="563">
                  <c:v>-2.3495820919134793E-2</c:v>
                </c:pt>
                <c:pt idx="564">
                  <c:v>-2.3337845974547074E-2</c:v>
                </c:pt>
                <c:pt idx="565">
                  <c:v>-2.3328895232276475E-2</c:v>
                </c:pt>
                <c:pt idx="566">
                  <c:v>-2.3313242719607413E-2</c:v>
                </c:pt>
                <c:pt idx="567">
                  <c:v>-2.3312705809144931E-2</c:v>
                </c:pt>
                <c:pt idx="568">
                  <c:v>-2.3306717168130334E-2</c:v>
                </c:pt>
                <c:pt idx="569">
                  <c:v>-2.3306867088573893E-2</c:v>
                </c:pt>
                <c:pt idx="570">
                  <c:v>-2.3345912506153227E-2</c:v>
                </c:pt>
                <c:pt idx="571">
                  <c:v>-2.3308657045800745E-2</c:v>
                </c:pt>
                <c:pt idx="572">
                  <c:v>-2.3273492288927985E-2</c:v>
                </c:pt>
                <c:pt idx="573">
                  <c:v>-2.3271536455362854E-2</c:v>
                </c:pt>
                <c:pt idx="574">
                  <c:v>-2.3364700259531166E-2</c:v>
                </c:pt>
                <c:pt idx="575">
                  <c:v>-2.3251984764360415E-2</c:v>
                </c:pt>
                <c:pt idx="576">
                  <c:v>-2.3270164316644193E-2</c:v>
                </c:pt>
                <c:pt idx="577">
                  <c:v>-2.3228246409942498E-2</c:v>
                </c:pt>
                <c:pt idx="578">
                  <c:v>-2.322944042834817E-2</c:v>
                </c:pt>
                <c:pt idx="579">
                  <c:v>-2.3252571400466108E-2</c:v>
                </c:pt>
                <c:pt idx="580">
                  <c:v>-2.3304455011364775E-2</c:v>
                </c:pt>
                <c:pt idx="581">
                  <c:v>-2.3324607301050855E-2</c:v>
                </c:pt>
                <c:pt idx="582">
                  <c:v>-2.3318876999757047E-2</c:v>
                </c:pt>
                <c:pt idx="583">
                  <c:v>-2.3318432134694644E-2</c:v>
                </c:pt>
                <c:pt idx="584">
                  <c:v>-2.3306225585099E-2</c:v>
                </c:pt>
                <c:pt idx="585">
                  <c:v>-2.3311640863989864E-2</c:v>
                </c:pt>
                <c:pt idx="586">
                  <c:v>-2.3344718255153676E-2</c:v>
                </c:pt>
                <c:pt idx="587">
                  <c:v>-2.3352400126440791E-2</c:v>
                </c:pt>
                <c:pt idx="588">
                  <c:v>-2.3351773770126198E-2</c:v>
                </c:pt>
                <c:pt idx="589">
                  <c:v>-2.3363792324699352E-2</c:v>
                </c:pt>
                <c:pt idx="590">
                  <c:v>-2.3355580993807117E-2</c:v>
                </c:pt>
                <c:pt idx="591">
                  <c:v>-2.3295588241059664E-2</c:v>
                </c:pt>
                <c:pt idx="592">
                  <c:v>-2.3285367961074104E-2</c:v>
                </c:pt>
                <c:pt idx="593">
                  <c:v>-2.3266010773950047E-2</c:v>
                </c:pt>
                <c:pt idx="594">
                  <c:v>-2.3256850232109511E-2</c:v>
                </c:pt>
                <c:pt idx="595">
                  <c:v>-2.3264169507297913E-2</c:v>
                </c:pt>
                <c:pt idx="596">
                  <c:v>-2.325534152714355E-2</c:v>
                </c:pt>
                <c:pt idx="597">
                  <c:v>-2.3207109248735838E-2</c:v>
                </c:pt>
                <c:pt idx="598">
                  <c:v>-2.3213057231287932E-2</c:v>
                </c:pt>
                <c:pt idx="599">
                  <c:v>-2.3209942297457618E-2</c:v>
                </c:pt>
                <c:pt idx="600">
                  <c:v>-2.3215540178193196E-2</c:v>
                </c:pt>
                <c:pt idx="601">
                  <c:v>-2.3228667141048948E-2</c:v>
                </c:pt>
                <c:pt idx="602">
                  <c:v>-2.3316082956944255E-2</c:v>
                </c:pt>
                <c:pt idx="603">
                  <c:v>-2.3323719893769111E-2</c:v>
                </c:pt>
                <c:pt idx="604">
                  <c:v>-2.3385279870828588E-2</c:v>
                </c:pt>
                <c:pt idx="605">
                  <c:v>-2.3382501548930977E-2</c:v>
                </c:pt>
                <c:pt idx="606">
                  <c:v>-2.3406822812621991E-2</c:v>
                </c:pt>
                <c:pt idx="607">
                  <c:v>-2.3407496837753814E-2</c:v>
                </c:pt>
                <c:pt idx="608">
                  <c:v>-2.344616157775177E-2</c:v>
                </c:pt>
                <c:pt idx="609">
                  <c:v>-2.3165130729789294E-2</c:v>
                </c:pt>
                <c:pt idx="610">
                  <c:v>-2.3163422040424032E-2</c:v>
                </c:pt>
                <c:pt idx="611">
                  <c:v>-2.3298335842809173E-2</c:v>
                </c:pt>
                <c:pt idx="612">
                  <c:v>-2.3294386376822372E-2</c:v>
                </c:pt>
                <c:pt idx="613">
                  <c:v>-2.3180872754402237E-2</c:v>
                </c:pt>
                <c:pt idx="614">
                  <c:v>-2.321519644650662E-2</c:v>
                </c:pt>
                <c:pt idx="615">
                  <c:v>-2.3210531468869144E-2</c:v>
                </c:pt>
                <c:pt idx="616">
                  <c:v>-2.3357280976039462E-2</c:v>
                </c:pt>
                <c:pt idx="617">
                  <c:v>-2.3387157108318339E-2</c:v>
                </c:pt>
                <c:pt idx="618">
                  <c:v>-2.3353399334054961E-2</c:v>
                </c:pt>
                <c:pt idx="619">
                  <c:v>-2.3423563032547525E-2</c:v>
                </c:pt>
                <c:pt idx="620">
                  <c:v>-2.361057730600772E-2</c:v>
                </c:pt>
                <c:pt idx="621">
                  <c:v>-2.3571584857800185E-2</c:v>
                </c:pt>
                <c:pt idx="622">
                  <c:v>-2.3792923230386252E-2</c:v>
                </c:pt>
                <c:pt idx="623">
                  <c:v>-2.3789724566187151E-2</c:v>
                </c:pt>
                <c:pt idx="624">
                  <c:v>-2.3786362778921349E-2</c:v>
                </c:pt>
                <c:pt idx="625">
                  <c:v>-2.3789828513703919E-2</c:v>
                </c:pt>
                <c:pt idx="626">
                  <c:v>-2.3981872781598405E-2</c:v>
                </c:pt>
                <c:pt idx="627">
                  <c:v>-2.4254713603185585E-2</c:v>
                </c:pt>
                <c:pt idx="628">
                  <c:v>-2.4164571887132558E-2</c:v>
                </c:pt>
                <c:pt idx="629">
                  <c:v>-2.4085441489008701E-2</c:v>
                </c:pt>
                <c:pt idx="630">
                  <c:v>-2.4064876349605947E-2</c:v>
                </c:pt>
                <c:pt idx="631">
                  <c:v>-2.4336158120027426E-2</c:v>
                </c:pt>
                <c:pt idx="632">
                  <c:v>-2.4406824939916232E-2</c:v>
                </c:pt>
                <c:pt idx="633">
                  <c:v>-2.4394663322389046E-2</c:v>
                </c:pt>
                <c:pt idx="634">
                  <c:v>-2.4395899109322654E-2</c:v>
                </c:pt>
                <c:pt idx="635">
                  <c:v>-2.452591804587342E-2</c:v>
                </c:pt>
                <c:pt idx="636">
                  <c:v>-2.4523532269251615E-2</c:v>
                </c:pt>
                <c:pt idx="637">
                  <c:v>-2.4597399747223601E-2</c:v>
                </c:pt>
                <c:pt idx="638">
                  <c:v>-2.4629043068950848E-2</c:v>
                </c:pt>
                <c:pt idx="639">
                  <c:v>-2.469627508996616E-2</c:v>
                </c:pt>
                <c:pt idx="640">
                  <c:v>-2.4723725296216744E-2</c:v>
                </c:pt>
                <c:pt idx="641">
                  <c:v>-2.4703929430109489E-2</c:v>
                </c:pt>
                <c:pt idx="642">
                  <c:v>-2.4697707461469459E-2</c:v>
                </c:pt>
                <c:pt idx="643">
                  <c:v>-2.4697370447850767E-2</c:v>
                </c:pt>
                <c:pt idx="644">
                  <c:v>-2.4676612540227013E-2</c:v>
                </c:pt>
                <c:pt idx="645">
                  <c:v>-2.4654940798229625E-2</c:v>
                </c:pt>
                <c:pt idx="646">
                  <c:v>-2.4638898742880326E-2</c:v>
                </c:pt>
                <c:pt idx="647">
                  <c:v>-2.4808171569271727E-2</c:v>
                </c:pt>
                <c:pt idx="648">
                  <c:v>-2.4837440019282241E-2</c:v>
                </c:pt>
                <c:pt idx="649">
                  <c:v>-2.4901596941983746E-2</c:v>
                </c:pt>
                <c:pt idx="650">
                  <c:v>-2.4953591464024073E-2</c:v>
                </c:pt>
                <c:pt idx="651">
                  <c:v>-2.4817840191339102E-2</c:v>
                </c:pt>
                <c:pt idx="652">
                  <c:v>-2.4619314770398703E-2</c:v>
                </c:pt>
                <c:pt idx="653">
                  <c:v>-2.4609855821203501E-2</c:v>
                </c:pt>
                <c:pt idx="654">
                  <c:v>-2.4654549119339533E-2</c:v>
                </c:pt>
                <c:pt idx="655">
                  <c:v>-2.5203717100534508E-2</c:v>
                </c:pt>
                <c:pt idx="656">
                  <c:v>-2.5381698068145865E-2</c:v>
                </c:pt>
                <c:pt idx="657">
                  <c:v>-2.5454927920382394E-2</c:v>
                </c:pt>
                <c:pt idx="658">
                  <c:v>-2.5680356863979657E-2</c:v>
                </c:pt>
                <c:pt idx="659">
                  <c:v>-2.5721319502615837E-2</c:v>
                </c:pt>
                <c:pt idx="660">
                  <c:v>-2.5719817520649498E-2</c:v>
                </c:pt>
                <c:pt idx="661">
                  <c:v>-2.5723759085214768E-2</c:v>
                </c:pt>
                <c:pt idx="662">
                  <c:v>-2.5715852593892682E-2</c:v>
                </c:pt>
                <c:pt idx="663">
                  <c:v>-2.5683322407249548E-2</c:v>
                </c:pt>
                <c:pt idx="664">
                  <c:v>-2.5369681982182E-2</c:v>
                </c:pt>
                <c:pt idx="665">
                  <c:v>-2.5388041362350389E-2</c:v>
                </c:pt>
                <c:pt idx="666">
                  <c:v>-2.5402873448148497E-2</c:v>
                </c:pt>
                <c:pt idx="667">
                  <c:v>-2.5416085694291612E-2</c:v>
                </c:pt>
                <c:pt idx="668">
                  <c:v>-2.5349901696196362E-2</c:v>
                </c:pt>
                <c:pt idx="669">
                  <c:v>-2.5488040377269996E-2</c:v>
                </c:pt>
                <c:pt idx="670">
                  <c:v>-2.5539246182157086E-2</c:v>
                </c:pt>
                <c:pt idx="671">
                  <c:v>-2.5527980939965451E-2</c:v>
                </c:pt>
                <c:pt idx="672">
                  <c:v>-2.5525991223698852E-2</c:v>
                </c:pt>
                <c:pt idx="673">
                  <c:v>-2.7485727988260308E-2</c:v>
                </c:pt>
                <c:pt idx="674">
                  <c:v>-2.8610046254077221E-2</c:v>
                </c:pt>
                <c:pt idx="675">
                  <c:v>-2.8870702080251803E-2</c:v>
                </c:pt>
                <c:pt idx="676">
                  <c:v>-2.9352805159094754E-2</c:v>
                </c:pt>
                <c:pt idx="677">
                  <c:v>-3.286256559039967E-2</c:v>
                </c:pt>
                <c:pt idx="678">
                  <c:v>-3.2890971324513088E-2</c:v>
                </c:pt>
                <c:pt idx="679">
                  <c:v>-3.3135102147194055E-2</c:v>
                </c:pt>
                <c:pt idx="680">
                  <c:v>-3.3124863827297728E-2</c:v>
                </c:pt>
                <c:pt idx="681">
                  <c:v>-3.3059951845083292E-2</c:v>
                </c:pt>
                <c:pt idx="682">
                  <c:v>-3.3314004950641588E-2</c:v>
                </c:pt>
                <c:pt idx="683">
                  <c:v>-3.3335855423918911E-2</c:v>
                </c:pt>
                <c:pt idx="684">
                  <c:v>-3.3373533009097719E-2</c:v>
                </c:pt>
                <c:pt idx="685">
                  <c:v>-3.3544417572167445E-2</c:v>
                </c:pt>
                <c:pt idx="686">
                  <c:v>-3.3626758401508035E-2</c:v>
                </c:pt>
                <c:pt idx="687">
                  <c:v>-3.3653341454260736E-2</c:v>
                </c:pt>
                <c:pt idx="688">
                  <c:v>-3.3652358735652761E-2</c:v>
                </c:pt>
                <c:pt idx="689">
                  <c:v>-3.3650983007046879E-2</c:v>
                </c:pt>
                <c:pt idx="690">
                  <c:v>-3.3563383075014531E-2</c:v>
                </c:pt>
                <c:pt idx="691">
                  <c:v>-3.3507494996439999E-2</c:v>
                </c:pt>
                <c:pt idx="692">
                  <c:v>-3.3500972186295462E-2</c:v>
                </c:pt>
                <c:pt idx="693">
                  <c:v>-3.367451438412554E-2</c:v>
                </c:pt>
                <c:pt idx="694">
                  <c:v>-3.3308129979282362E-2</c:v>
                </c:pt>
                <c:pt idx="695">
                  <c:v>-3.3294232156949453E-2</c:v>
                </c:pt>
                <c:pt idx="696">
                  <c:v>-3.3314977490136739E-2</c:v>
                </c:pt>
                <c:pt idx="697">
                  <c:v>-3.3320408253873959E-2</c:v>
                </c:pt>
                <c:pt idx="698">
                  <c:v>-3.3309202420760992E-2</c:v>
                </c:pt>
                <c:pt idx="699">
                  <c:v>-3.3897794421415099E-2</c:v>
                </c:pt>
                <c:pt idx="700">
                  <c:v>-3.3866367890121332E-2</c:v>
                </c:pt>
                <c:pt idx="701">
                  <c:v>-3.3863121584932036E-2</c:v>
                </c:pt>
                <c:pt idx="702">
                  <c:v>-3.3844773478894037E-2</c:v>
                </c:pt>
                <c:pt idx="703">
                  <c:v>-3.3845056715785048E-2</c:v>
                </c:pt>
                <c:pt idx="704">
                  <c:v>-3.3869078153602107E-2</c:v>
                </c:pt>
                <c:pt idx="705">
                  <c:v>-3.3878526864056992E-2</c:v>
                </c:pt>
                <c:pt idx="706">
                  <c:v>-3.3960869509680545E-2</c:v>
                </c:pt>
                <c:pt idx="707">
                  <c:v>-3.3953520459420745E-2</c:v>
                </c:pt>
                <c:pt idx="708">
                  <c:v>-3.4032450648237407E-2</c:v>
                </c:pt>
                <c:pt idx="709">
                  <c:v>-3.4088199329418048E-2</c:v>
                </c:pt>
                <c:pt idx="710">
                  <c:v>-3.4088301765698187E-2</c:v>
                </c:pt>
                <c:pt idx="711">
                  <c:v>-3.4089067899806522E-2</c:v>
                </c:pt>
                <c:pt idx="712">
                  <c:v>-3.4087963223848258E-2</c:v>
                </c:pt>
                <c:pt idx="713">
                  <c:v>-3.4086858888601815E-2</c:v>
                </c:pt>
                <c:pt idx="714">
                  <c:v>-3.4082987201659767E-2</c:v>
                </c:pt>
                <c:pt idx="715">
                  <c:v>-3.4083576487188322E-2</c:v>
                </c:pt>
                <c:pt idx="716">
                  <c:v>-3.4093601982113149E-2</c:v>
                </c:pt>
                <c:pt idx="717">
                  <c:v>-3.4126473153173228E-2</c:v>
                </c:pt>
                <c:pt idx="718">
                  <c:v>-3.4127250624322848E-2</c:v>
                </c:pt>
                <c:pt idx="719">
                  <c:v>-3.4072236935135496E-2</c:v>
                </c:pt>
                <c:pt idx="720">
                  <c:v>-3.334074760089601E-2</c:v>
                </c:pt>
                <c:pt idx="721">
                  <c:v>-3.3210175195688724E-2</c:v>
                </c:pt>
                <c:pt idx="722">
                  <c:v>-3.3235042368216734E-2</c:v>
                </c:pt>
                <c:pt idx="723">
                  <c:v>-3.3242060280206071E-2</c:v>
                </c:pt>
                <c:pt idx="724">
                  <c:v>-3.3208995571819423E-2</c:v>
                </c:pt>
                <c:pt idx="725">
                  <c:v>-3.3194635247082112E-2</c:v>
                </c:pt>
                <c:pt idx="726">
                  <c:v>-3.3201542759048602E-2</c:v>
                </c:pt>
                <c:pt idx="727">
                  <c:v>-3.3185044447817093E-2</c:v>
                </c:pt>
                <c:pt idx="728">
                  <c:v>-3.3188936871299271E-2</c:v>
                </c:pt>
                <c:pt idx="729">
                  <c:v>-3.3192213031124684E-2</c:v>
                </c:pt>
                <c:pt idx="730">
                  <c:v>-3.312799823459691E-2</c:v>
                </c:pt>
                <c:pt idx="731">
                  <c:v>-3.3125166886172112E-2</c:v>
                </c:pt>
                <c:pt idx="732">
                  <c:v>-3.3149547564858398E-2</c:v>
                </c:pt>
                <c:pt idx="733">
                  <c:v>-3.3040834582927697E-2</c:v>
                </c:pt>
                <c:pt idx="734">
                  <c:v>-3.3077899783035228E-2</c:v>
                </c:pt>
                <c:pt idx="735">
                  <c:v>-3.3076808702355409E-2</c:v>
                </c:pt>
                <c:pt idx="736">
                  <c:v>-3.3046508303807377E-2</c:v>
                </c:pt>
                <c:pt idx="737">
                  <c:v>-3.3038940618445811E-2</c:v>
                </c:pt>
                <c:pt idx="738">
                  <c:v>-3.3041501318658358E-2</c:v>
                </c:pt>
                <c:pt idx="739">
                  <c:v>-3.2988956888257537E-2</c:v>
                </c:pt>
                <c:pt idx="740">
                  <c:v>-3.2905493157094234E-2</c:v>
                </c:pt>
                <c:pt idx="741">
                  <c:v>-3.289921116411073E-2</c:v>
                </c:pt>
                <c:pt idx="742">
                  <c:v>-3.285261516355116E-2</c:v>
                </c:pt>
                <c:pt idx="743">
                  <c:v>-3.2856690708902979E-2</c:v>
                </c:pt>
                <c:pt idx="744">
                  <c:v>-3.2751089498477298E-2</c:v>
                </c:pt>
                <c:pt idx="745">
                  <c:v>-3.2687025485474738E-2</c:v>
                </c:pt>
                <c:pt idx="746">
                  <c:v>-3.2693603496808249E-2</c:v>
                </c:pt>
                <c:pt idx="747">
                  <c:v>-3.2707273478625662E-2</c:v>
                </c:pt>
                <c:pt idx="748">
                  <c:v>-3.2703548112005876E-2</c:v>
                </c:pt>
                <c:pt idx="749">
                  <c:v>-3.2563579770818633E-2</c:v>
                </c:pt>
                <c:pt idx="750">
                  <c:v>-3.2559874471883979E-2</c:v>
                </c:pt>
                <c:pt idx="751">
                  <c:v>-3.255917972913723E-2</c:v>
                </c:pt>
                <c:pt idx="752">
                  <c:v>-3.2587003585092228E-2</c:v>
                </c:pt>
                <c:pt idx="753">
                  <c:v>-3.2603904880035756E-2</c:v>
                </c:pt>
                <c:pt idx="754">
                  <c:v>-3.2573889803529238E-2</c:v>
                </c:pt>
                <c:pt idx="755">
                  <c:v>-3.2632453984532274E-2</c:v>
                </c:pt>
                <c:pt idx="756">
                  <c:v>-3.2628255080532124E-2</c:v>
                </c:pt>
                <c:pt idx="757">
                  <c:v>-3.2223909999446659E-2</c:v>
                </c:pt>
                <c:pt idx="758">
                  <c:v>-3.2620603935214827E-2</c:v>
                </c:pt>
                <c:pt idx="759">
                  <c:v>-3.2756749717019924E-2</c:v>
                </c:pt>
                <c:pt idx="760">
                  <c:v>-3.2993985894421277E-2</c:v>
                </c:pt>
                <c:pt idx="761">
                  <c:v>-3.29767815467992E-2</c:v>
                </c:pt>
                <c:pt idx="762">
                  <c:v>-3.2987470975481575E-2</c:v>
                </c:pt>
                <c:pt idx="763">
                  <c:v>-3.2981288668615466E-2</c:v>
                </c:pt>
                <c:pt idx="764">
                  <c:v>-3.29818441503738E-2</c:v>
                </c:pt>
                <c:pt idx="765">
                  <c:v>-3.2957515808475911E-2</c:v>
                </c:pt>
                <c:pt idx="766">
                  <c:v>-3.2953625786035529E-2</c:v>
                </c:pt>
                <c:pt idx="767">
                  <c:v>-3.2953900394269771E-2</c:v>
                </c:pt>
                <c:pt idx="768">
                  <c:v>-3.3018524920119412E-2</c:v>
                </c:pt>
                <c:pt idx="769">
                  <c:v>-3.302247648072338E-2</c:v>
                </c:pt>
                <c:pt idx="770">
                  <c:v>-3.3037181137649162E-2</c:v>
                </c:pt>
                <c:pt idx="771">
                  <c:v>-3.3021300086614212E-2</c:v>
                </c:pt>
                <c:pt idx="772">
                  <c:v>-3.3035426326168384E-2</c:v>
                </c:pt>
                <c:pt idx="773">
                  <c:v>-3.3037442270980877E-2</c:v>
                </c:pt>
                <c:pt idx="774">
                  <c:v>-3.3042564117153048E-2</c:v>
                </c:pt>
                <c:pt idx="775">
                  <c:v>-3.3009205756891487E-2</c:v>
                </c:pt>
                <c:pt idx="776">
                  <c:v>-3.3025427379433682E-2</c:v>
                </c:pt>
                <c:pt idx="777">
                  <c:v>-3.3126559151633005E-2</c:v>
                </c:pt>
                <c:pt idx="778">
                  <c:v>-3.3117721287702809E-2</c:v>
                </c:pt>
                <c:pt idx="779">
                  <c:v>-3.3110720181118901E-2</c:v>
                </c:pt>
                <c:pt idx="780">
                  <c:v>-3.3112064552668574E-2</c:v>
                </c:pt>
                <c:pt idx="781">
                  <c:v>-3.315014355294648E-2</c:v>
                </c:pt>
                <c:pt idx="782">
                  <c:v>-3.332563757405177E-2</c:v>
                </c:pt>
                <c:pt idx="783">
                  <c:v>-3.3336694673891117E-2</c:v>
                </c:pt>
                <c:pt idx="784">
                  <c:v>-3.33850047308158E-2</c:v>
                </c:pt>
                <c:pt idx="785">
                  <c:v>-3.3404119000742305E-2</c:v>
                </c:pt>
                <c:pt idx="786">
                  <c:v>-3.3277150607927873E-2</c:v>
                </c:pt>
                <c:pt idx="787">
                  <c:v>-3.3278228936082684E-2</c:v>
                </c:pt>
                <c:pt idx="788">
                  <c:v>-3.3232494604129158E-2</c:v>
                </c:pt>
                <c:pt idx="789">
                  <c:v>-3.3178987313868369E-2</c:v>
                </c:pt>
                <c:pt idx="790">
                  <c:v>-3.3462133958047133E-2</c:v>
                </c:pt>
                <c:pt idx="791">
                  <c:v>-3.3459334191385318E-2</c:v>
                </c:pt>
                <c:pt idx="792">
                  <c:v>-3.3469982633207822E-2</c:v>
                </c:pt>
                <c:pt idx="793">
                  <c:v>-3.3515389104108721E-2</c:v>
                </c:pt>
                <c:pt idx="794">
                  <c:v>-3.3517862656731047E-2</c:v>
                </c:pt>
                <c:pt idx="795">
                  <c:v>-3.3521078857209043E-2</c:v>
                </c:pt>
                <c:pt idx="796">
                  <c:v>-3.344115128985866E-2</c:v>
                </c:pt>
                <c:pt idx="797">
                  <c:v>-3.3295725875831114E-2</c:v>
                </c:pt>
                <c:pt idx="798">
                  <c:v>-3.3301026738459923E-2</c:v>
                </c:pt>
                <c:pt idx="799">
                  <c:v>-3.32975685972349E-2</c:v>
                </c:pt>
                <c:pt idx="800">
                  <c:v>-3.3299621837945992E-2</c:v>
                </c:pt>
                <c:pt idx="801">
                  <c:v>-3.3210875133028867E-2</c:v>
                </c:pt>
                <c:pt idx="802">
                  <c:v>-3.3164902794339236E-2</c:v>
                </c:pt>
                <c:pt idx="803">
                  <c:v>-3.3165478387140762E-2</c:v>
                </c:pt>
                <c:pt idx="804">
                  <c:v>-3.3370147625796785E-2</c:v>
                </c:pt>
                <c:pt idx="805">
                  <c:v>-3.3376814658803641E-2</c:v>
                </c:pt>
                <c:pt idx="806">
                  <c:v>-3.3335005837986688E-2</c:v>
                </c:pt>
                <c:pt idx="807">
                  <c:v>-3.3322349768966066E-2</c:v>
                </c:pt>
                <c:pt idx="808">
                  <c:v>-3.3318796308151551E-2</c:v>
                </c:pt>
                <c:pt idx="809">
                  <c:v>-3.3377687360150579E-2</c:v>
                </c:pt>
                <c:pt idx="810">
                  <c:v>-3.3592797752986556E-2</c:v>
                </c:pt>
                <c:pt idx="811">
                  <c:v>-3.358770516822647E-2</c:v>
                </c:pt>
                <c:pt idx="812">
                  <c:v>-3.3632877155300916E-2</c:v>
                </c:pt>
                <c:pt idx="813">
                  <c:v>-3.3554898389447772E-2</c:v>
                </c:pt>
                <c:pt idx="814">
                  <c:v>-3.3577477278494701E-2</c:v>
                </c:pt>
                <c:pt idx="815">
                  <c:v>-3.365388535725574E-2</c:v>
                </c:pt>
                <c:pt idx="816">
                  <c:v>-3.3643677825607593E-2</c:v>
                </c:pt>
                <c:pt idx="817">
                  <c:v>-3.364427745068823E-2</c:v>
                </c:pt>
                <c:pt idx="818">
                  <c:v>-3.3607880548830404E-2</c:v>
                </c:pt>
                <c:pt idx="819">
                  <c:v>-3.3552263961236228E-2</c:v>
                </c:pt>
                <c:pt idx="820">
                  <c:v>-3.3525108240568105E-2</c:v>
                </c:pt>
                <c:pt idx="821">
                  <c:v>-3.3522674733277094E-2</c:v>
                </c:pt>
                <c:pt idx="822">
                  <c:v>-3.351747920145861E-2</c:v>
                </c:pt>
                <c:pt idx="823">
                  <c:v>-3.351556097766193E-2</c:v>
                </c:pt>
                <c:pt idx="824">
                  <c:v>-3.3452942507009989E-2</c:v>
                </c:pt>
                <c:pt idx="825">
                  <c:v>-3.3454768591154545E-2</c:v>
                </c:pt>
                <c:pt idx="826">
                  <c:v>-3.3496760247761971E-2</c:v>
                </c:pt>
                <c:pt idx="827">
                  <c:v>-3.3505328244011236E-2</c:v>
                </c:pt>
                <c:pt idx="828">
                  <c:v>-3.3504892590683025E-2</c:v>
                </c:pt>
                <c:pt idx="829">
                  <c:v>-3.3479039047911004E-2</c:v>
                </c:pt>
                <c:pt idx="830">
                  <c:v>-3.350182320904261E-2</c:v>
                </c:pt>
                <c:pt idx="831">
                  <c:v>-3.3475966308422679E-2</c:v>
                </c:pt>
                <c:pt idx="832">
                  <c:v>-3.3477937403254603E-2</c:v>
                </c:pt>
                <c:pt idx="833">
                  <c:v>-3.3490907350780752E-2</c:v>
                </c:pt>
                <c:pt idx="834">
                  <c:v>-3.3547111527646209E-2</c:v>
                </c:pt>
                <c:pt idx="835">
                  <c:v>-3.3581474256827254E-2</c:v>
                </c:pt>
                <c:pt idx="836">
                  <c:v>-3.3558778432187131E-2</c:v>
                </c:pt>
                <c:pt idx="837">
                  <c:v>-3.3546943267767748E-2</c:v>
                </c:pt>
                <c:pt idx="838">
                  <c:v>-3.3549253460499084E-2</c:v>
                </c:pt>
                <c:pt idx="839">
                  <c:v>-3.3568409485292348E-2</c:v>
                </c:pt>
                <c:pt idx="840">
                  <c:v>-3.35726160999614E-2</c:v>
                </c:pt>
                <c:pt idx="841">
                  <c:v>-3.3559247524812132E-2</c:v>
                </c:pt>
                <c:pt idx="842">
                  <c:v>-3.3585789317907504E-2</c:v>
                </c:pt>
                <c:pt idx="843">
                  <c:v>-3.3594725718027234E-2</c:v>
                </c:pt>
                <c:pt idx="844">
                  <c:v>-3.3596700302329828E-2</c:v>
                </c:pt>
                <c:pt idx="845">
                  <c:v>-3.3559593143687831E-2</c:v>
                </c:pt>
                <c:pt idx="846">
                  <c:v>-3.3561938857132809E-2</c:v>
                </c:pt>
                <c:pt idx="847">
                  <c:v>-3.3558371985790043E-2</c:v>
                </c:pt>
                <c:pt idx="848">
                  <c:v>-3.3553571839982595E-2</c:v>
                </c:pt>
                <c:pt idx="849">
                  <c:v>-3.3592671118304523E-2</c:v>
                </c:pt>
                <c:pt idx="850">
                  <c:v>-3.3572465840457977E-2</c:v>
                </c:pt>
                <c:pt idx="851">
                  <c:v>-3.357612543078569E-2</c:v>
                </c:pt>
                <c:pt idx="852">
                  <c:v>-3.3497919779019676E-2</c:v>
                </c:pt>
                <c:pt idx="853">
                  <c:v>-3.3494952751046497E-2</c:v>
                </c:pt>
                <c:pt idx="854">
                  <c:v>-3.345756543698554E-2</c:v>
                </c:pt>
                <c:pt idx="855">
                  <c:v>-3.3460108333447335E-2</c:v>
                </c:pt>
                <c:pt idx="856">
                  <c:v>-3.3444062528042127E-2</c:v>
                </c:pt>
                <c:pt idx="857">
                  <c:v>-3.3443162590226859E-2</c:v>
                </c:pt>
                <c:pt idx="858">
                  <c:v>-3.3413297875113754E-2</c:v>
                </c:pt>
                <c:pt idx="859">
                  <c:v>-3.3384201292602868E-2</c:v>
                </c:pt>
                <c:pt idx="860">
                  <c:v>-3.3379004201454454E-2</c:v>
                </c:pt>
                <c:pt idx="861">
                  <c:v>-3.326235704620769E-2</c:v>
                </c:pt>
                <c:pt idx="862">
                  <c:v>-3.3295026745961076E-2</c:v>
                </c:pt>
                <c:pt idx="863">
                  <c:v>-3.3346315662280003E-2</c:v>
                </c:pt>
                <c:pt idx="864">
                  <c:v>-3.333440951296323E-2</c:v>
                </c:pt>
                <c:pt idx="865">
                  <c:v>-3.3338431851914867E-2</c:v>
                </c:pt>
                <c:pt idx="866">
                  <c:v>-3.3238747346863516E-2</c:v>
                </c:pt>
                <c:pt idx="867">
                  <c:v>-3.3221113084792149E-2</c:v>
                </c:pt>
                <c:pt idx="868">
                  <c:v>-3.321773809218851E-2</c:v>
                </c:pt>
                <c:pt idx="869">
                  <c:v>-3.3161718554232687E-2</c:v>
                </c:pt>
                <c:pt idx="870">
                  <c:v>-3.2884406992463637E-2</c:v>
                </c:pt>
                <c:pt idx="871">
                  <c:v>-3.2895909932324455E-2</c:v>
                </c:pt>
                <c:pt idx="872">
                  <c:v>-3.2926790461014648E-2</c:v>
                </c:pt>
                <c:pt idx="873">
                  <c:v>-3.2924744037166297E-2</c:v>
                </c:pt>
                <c:pt idx="874">
                  <c:v>-3.2925455784686079E-2</c:v>
                </c:pt>
                <c:pt idx="875">
                  <c:v>-3.2922764118760169E-2</c:v>
                </c:pt>
                <c:pt idx="876">
                  <c:v>-3.290302729081554E-2</c:v>
                </c:pt>
                <c:pt idx="877">
                  <c:v>-3.2713462441063983E-2</c:v>
                </c:pt>
                <c:pt idx="878">
                  <c:v>-3.2719577013743596E-2</c:v>
                </c:pt>
                <c:pt idx="879">
                  <c:v>-3.2717365188152138E-2</c:v>
                </c:pt>
                <c:pt idx="880">
                  <c:v>-3.2712021998008961E-2</c:v>
                </c:pt>
                <c:pt idx="881">
                  <c:v>-3.2764432214334539E-2</c:v>
                </c:pt>
                <c:pt idx="882">
                  <c:v>-3.2698290216728015E-2</c:v>
                </c:pt>
                <c:pt idx="883">
                  <c:v>-3.2801469197269471E-2</c:v>
                </c:pt>
                <c:pt idx="884">
                  <c:v>-3.2801722010317488E-2</c:v>
                </c:pt>
                <c:pt idx="885">
                  <c:v>-3.2706566636696417E-2</c:v>
                </c:pt>
                <c:pt idx="886">
                  <c:v>-3.2732578856668526E-2</c:v>
                </c:pt>
                <c:pt idx="887">
                  <c:v>-3.2663015806259847E-2</c:v>
                </c:pt>
                <c:pt idx="888">
                  <c:v>-3.2618219585891617E-2</c:v>
                </c:pt>
                <c:pt idx="889">
                  <c:v>-3.3001917767251338E-2</c:v>
                </c:pt>
                <c:pt idx="890">
                  <c:v>-3.3065794430793022E-2</c:v>
                </c:pt>
                <c:pt idx="891">
                  <c:v>-3.3222373047603226E-2</c:v>
                </c:pt>
                <c:pt idx="892">
                  <c:v>-3.3222438992746517E-2</c:v>
                </c:pt>
                <c:pt idx="893">
                  <c:v>-3.3255369390379513E-2</c:v>
                </c:pt>
                <c:pt idx="894">
                  <c:v>-3.3291532108809932E-2</c:v>
                </c:pt>
                <c:pt idx="895">
                  <c:v>-3.3290446913956447E-2</c:v>
                </c:pt>
                <c:pt idx="896">
                  <c:v>-3.3367674532245532E-2</c:v>
                </c:pt>
                <c:pt idx="897">
                  <c:v>-3.3249265228365577E-2</c:v>
                </c:pt>
                <c:pt idx="898">
                  <c:v>-3.3224512440970598E-2</c:v>
                </c:pt>
                <c:pt idx="899">
                  <c:v>-3.3347963155297575E-2</c:v>
                </c:pt>
                <c:pt idx="900">
                  <c:v>-3.330517001044591E-2</c:v>
                </c:pt>
                <c:pt idx="901">
                  <c:v>-3.329410375103866E-2</c:v>
                </c:pt>
                <c:pt idx="902">
                  <c:v>-3.3298201287595863E-2</c:v>
                </c:pt>
                <c:pt idx="903">
                  <c:v>-3.3310217061429559E-2</c:v>
                </c:pt>
                <c:pt idx="904">
                  <c:v>-3.3291825445742683E-2</c:v>
                </c:pt>
                <c:pt idx="905">
                  <c:v>-3.2892484575455787E-2</c:v>
                </c:pt>
                <c:pt idx="906">
                  <c:v>-3.2742250708312194E-2</c:v>
                </c:pt>
                <c:pt idx="907">
                  <c:v>-3.2686329625291749E-2</c:v>
                </c:pt>
                <c:pt idx="908">
                  <c:v>-3.2551129792415277E-2</c:v>
                </c:pt>
                <c:pt idx="909">
                  <c:v>-3.2589828036337858E-2</c:v>
                </c:pt>
                <c:pt idx="910">
                  <c:v>-3.260623102120136E-2</c:v>
                </c:pt>
                <c:pt idx="911">
                  <c:v>-3.2602335797652281E-2</c:v>
                </c:pt>
                <c:pt idx="912">
                  <c:v>-3.2633423367583521E-2</c:v>
                </c:pt>
                <c:pt idx="913">
                  <c:v>-3.2631032419085416E-2</c:v>
                </c:pt>
                <c:pt idx="914">
                  <c:v>-3.2576035855652552E-2</c:v>
                </c:pt>
                <c:pt idx="915">
                  <c:v>-3.2587348519289017E-2</c:v>
                </c:pt>
                <c:pt idx="916">
                  <c:v>-3.2558810754469099E-2</c:v>
                </c:pt>
                <c:pt idx="917">
                  <c:v>-3.2542345275869466E-2</c:v>
                </c:pt>
                <c:pt idx="918">
                  <c:v>-3.2526046594271558E-2</c:v>
                </c:pt>
                <c:pt idx="919">
                  <c:v>-3.2447229248330739E-2</c:v>
                </c:pt>
                <c:pt idx="920">
                  <c:v>-3.2402752976461544E-2</c:v>
                </c:pt>
                <c:pt idx="921">
                  <c:v>-3.2532143711973105E-2</c:v>
                </c:pt>
                <c:pt idx="922">
                  <c:v>-3.2538478887076568E-2</c:v>
                </c:pt>
                <c:pt idx="923">
                  <c:v>-3.0901766864010114E-2</c:v>
                </c:pt>
                <c:pt idx="924">
                  <c:v>-2.9866092359309138E-2</c:v>
                </c:pt>
                <c:pt idx="925">
                  <c:v>-2.9682508652249813E-2</c:v>
                </c:pt>
                <c:pt idx="926">
                  <c:v>-2.9242858611411397E-2</c:v>
                </c:pt>
                <c:pt idx="927">
                  <c:v>-2.5270237889064066E-2</c:v>
                </c:pt>
                <c:pt idx="928">
                  <c:v>-2.4841078582356731E-2</c:v>
                </c:pt>
                <c:pt idx="929">
                  <c:v>-2.4521171182898982E-2</c:v>
                </c:pt>
                <c:pt idx="930">
                  <c:v>-2.4426777170929746E-2</c:v>
                </c:pt>
                <c:pt idx="931">
                  <c:v>-2.4597141156951618E-2</c:v>
                </c:pt>
                <c:pt idx="932">
                  <c:v>-2.4260684486066761E-2</c:v>
                </c:pt>
                <c:pt idx="933">
                  <c:v>-2.4357654528599913E-2</c:v>
                </c:pt>
                <c:pt idx="934">
                  <c:v>-2.4278057331261326E-2</c:v>
                </c:pt>
                <c:pt idx="935">
                  <c:v>-2.4206460585586627E-2</c:v>
                </c:pt>
                <c:pt idx="936">
                  <c:v>-2.4227021920441721E-2</c:v>
                </c:pt>
                <c:pt idx="937">
                  <c:v>-2.4161167323720929E-2</c:v>
                </c:pt>
                <c:pt idx="938">
                  <c:v>-2.4180264971156874E-2</c:v>
                </c:pt>
                <c:pt idx="939">
                  <c:v>-2.4221057500636793E-2</c:v>
                </c:pt>
                <c:pt idx="940">
                  <c:v>-2.4242138822097196E-2</c:v>
                </c:pt>
                <c:pt idx="941">
                  <c:v>-2.4238318811720921E-2</c:v>
                </c:pt>
                <c:pt idx="942">
                  <c:v>-2.4239031533213402E-2</c:v>
                </c:pt>
                <c:pt idx="943">
                  <c:v>-2.4106496527420081E-2</c:v>
                </c:pt>
                <c:pt idx="944">
                  <c:v>-2.3895391380196741E-2</c:v>
                </c:pt>
                <c:pt idx="945">
                  <c:v>-2.403242183383231E-2</c:v>
                </c:pt>
                <c:pt idx="946">
                  <c:v>-2.4017813472129338E-2</c:v>
                </c:pt>
                <c:pt idx="947">
                  <c:v>-2.4013392954274813E-2</c:v>
                </c:pt>
                <c:pt idx="948">
                  <c:v>-2.4089290764951799E-2</c:v>
                </c:pt>
                <c:pt idx="949">
                  <c:v>-2.3272441612028103E-2</c:v>
                </c:pt>
                <c:pt idx="950">
                  <c:v>-2.3262547320322114E-2</c:v>
                </c:pt>
                <c:pt idx="951">
                  <c:v>-2.329417672697123E-2</c:v>
                </c:pt>
                <c:pt idx="952">
                  <c:v>-2.3290031813688692E-2</c:v>
                </c:pt>
                <c:pt idx="953">
                  <c:v>-2.3295474946509947E-2</c:v>
                </c:pt>
                <c:pt idx="954">
                  <c:v>-2.3275261518027984E-2</c:v>
                </c:pt>
                <c:pt idx="955">
                  <c:v>-2.3249801622207793E-2</c:v>
                </c:pt>
                <c:pt idx="956">
                  <c:v>-2.3125278463676929E-2</c:v>
                </c:pt>
                <c:pt idx="957">
                  <c:v>-2.3131543751856998E-2</c:v>
                </c:pt>
                <c:pt idx="958">
                  <c:v>-2.2909888789733122E-2</c:v>
                </c:pt>
                <c:pt idx="959">
                  <c:v>-2.2784774049354434E-2</c:v>
                </c:pt>
                <c:pt idx="960">
                  <c:v>-2.2794379233334931E-2</c:v>
                </c:pt>
                <c:pt idx="961">
                  <c:v>-2.2793299535576312E-2</c:v>
                </c:pt>
                <c:pt idx="962">
                  <c:v>-2.2794034419744615E-2</c:v>
                </c:pt>
                <c:pt idx="963">
                  <c:v>-2.2890828208458568E-2</c:v>
                </c:pt>
                <c:pt idx="964">
                  <c:v>-2.3053171883156066E-2</c:v>
                </c:pt>
                <c:pt idx="965">
                  <c:v>-2.3121860094793369E-2</c:v>
                </c:pt>
                <c:pt idx="966">
                  <c:v>-2.3085004669977285E-2</c:v>
                </c:pt>
                <c:pt idx="967">
                  <c:v>-2.3083197890906317E-2</c:v>
                </c:pt>
                <c:pt idx="968">
                  <c:v>-2.3138888734934616E-2</c:v>
                </c:pt>
                <c:pt idx="969">
                  <c:v>-2.3482619693807244E-2</c:v>
                </c:pt>
                <c:pt idx="970">
                  <c:v>-2.3382571289768141E-2</c:v>
                </c:pt>
                <c:pt idx="971">
                  <c:v>-2.3417210737071887E-2</c:v>
                </c:pt>
                <c:pt idx="972">
                  <c:v>-2.3428042194273274E-2</c:v>
                </c:pt>
                <c:pt idx="973">
                  <c:v>-2.3474141038543402E-2</c:v>
                </c:pt>
                <c:pt idx="974">
                  <c:v>-2.3430587389522514E-2</c:v>
                </c:pt>
                <c:pt idx="975">
                  <c:v>-2.3465916504354083E-2</c:v>
                </c:pt>
                <c:pt idx="976">
                  <c:v>-2.337389981970547E-2</c:v>
                </c:pt>
                <c:pt idx="977">
                  <c:v>-2.3379371382763244E-2</c:v>
                </c:pt>
                <c:pt idx="978">
                  <c:v>-2.3392900879457636E-2</c:v>
                </c:pt>
                <c:pt idx="979">
                  <c:v>-2.3395177386981107E-2</c:v>
                </c:pt>
                <c:pt idx="980">
                  <c:v>-2.433873665561638E-2</c:v>
                </c:pt>
                <c:pt idx="981">
                  <c:v>-2.4532730847515432E-2</c:v>
                </c:pt>
                <c:pt idx="982">
                  <c:v>-2.4470507651366519E-2</c:v>
                </c:pt>
                <c:pt idx="983">
                  <c:v>-2.4583772835223467E-2</c:v>
                </c:pt>
                <c:pt idx="984">
                  <c:v>-2.4545088996797554E-2</c:v>
                </c:pt>
                <c:pt idx="985">
                  <c:v>-2.5003319517770389E-2</c:v>
                </c:pt>
                <c:pt idx="986">
                  <c:v>-2.4956914462787413E-2</c:v>
                </c:pt>
                <c:pt idx="987">
                  <c:v>-2.4970503376721489E-2</c:v>
                </c:pt>
                <c:pt idx="988">
                  <c:v>-2.4978555192788989E-2</c:v>
                </c:pt>
                <c:pt idx="989">
                  <c:v>-2.4986230536986547E-2</c:v>
                </c:pt>
                <c:pt idx="990">
                  <c:v>-2.4978287561240806E-2</c:v>
                </c:pt>
                <c:pt idx="991">
                  <c:v>-2.4941771660480269E-2</c:v>
                </c:pt>
                <c:pt idx="992">
                  <c:v>-2.4960994608021692E-2</c:v>
                </c:pt>
                <c:pt idx="993">
                  <c:v>-2.5265179497044179E-2</c:v>
                </c:pt>
                <c:pt idx="994">
                  <c:v>-2.5316204701004132E-2</c:v>
                </c:pt>
                <c:pt idx="995">
                  <c:v>-2.5313366759992666E-2</c:v>
                </c:pt>
                <c:pt idx="996">
                  <c:v>-2.5427019646398874E-2</c:v>
                </c:pt>
                <c:pt idx="997">
                  <c:v>-2.5416385289086341E-2</c:v>
                </c:pt>
                <c:pt idx="998">
                  <c:v>-2.5426204814511841E-2</c:v>
                </c:pt>
                <c:pt idx="999">
                  <c:v>-2.546995324531294E-2</c:v>
                </c:pt>
                <c:pt idx="1000">
                  <c:v>-2.5700802434239292E-2</c:v>
                </c:pt>
                <c:pt idx="1001">
                  <c:v>-2.5720913948055563E-2</c:v>
                </c:pt>
                <c:pt idx="1002">
                  <c:v>-2.5685595649659172E-2</c:v>
                </c:pt>
                <c:pt idx="1003">
                  <c:v>-2.5664494300121226E-2</c:v>
                </c:pt>
                <c:pt idx="1004">
                  <c:v>-2.5733602845081395E-2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F-824F-A737-77DBDA5DAFB5}"/>
            </c:ext>
          </c:extLst>
        </c:ser>
        <c:ser>
          <c:idx val="2"/>
          <c:order val="2"/>
          <c:tx>
            <c:strRef>
              <c:f>Chart!$D$1</c:f>
              <c:strCache>
                <c:ptCount val="1"/>
                <c:pt idx="0">
                  <c:v>Neg. VaR(99%)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Chart!$A$2:$A$1006</c:f>
              <c:numCache>
                <c:formatCode>m/d/yy</c:formatCode>
                <c:ptCount val="1005"/>
                <c:pt idx="0">
                  <c:v>44770</c:v>
                </c:pt>
                <c:pt idx="1">
                  <c:v>44771</c:v>
                </c:pt>
                <c:pt idx="2">
                  <c:v>44774</c:v>
                </c:pt>
                <c:pt idx="3">
                  <c:v>44775</c:v>
                </c:pt>
                <c:pt idx="4">
                  <c:v>44776</c:v>
                </c:pt>
                <c:pt idx="5">
                  <c:v>44777</c:v>
                </c:pt>
                <c:pt idx="6">
                  <c:v>44778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44788</c:v>
                </c:pt>
                <c:pt idx="13">
                  <c:v>44789</c:v>
                </c:pt>
                <c:pt idx="14">
                  <c:v>44790</c:v>
                </c:pt>
                <c:pt idx="15">
                  <c:v>44791</c:v>
                </c:pt>
                <c:pt idx="16">
                  <c:v>44792</c:v>
                </c:pt>
                <c:pt idx="17">
                  <c:v>44795</c:v>
                </c:pt>
                <c:pt idx="18">
                  <c:v>44796</c:v>
                </c:pt>
                <c:pt idx="19">
                  <c:v>44797</c:v>
                </c:pt>
                <c:pt idx="20">
                  <c:v>44798</c:v>
                </c:pt>
                <c:pt idx="21">
                  <c:v>44799</c:v>
                </c:pt>
                <c:pt idx="22">
                  <c:v>44802</c:v>
                </c:pt>
                <c:pt idx="23">
                  <c:v>44803</c:v>
                </c:pt>
                <c:pt idx="24">
                  <c:v>44804</c:v>
                </c:pt>
                <c:pt idx="25">
                  <c:v>44805</c:v>
                </c:pt>
                <c:pt idx="26">
                  <c:v>44806</c:v>
                </c:pt>
                <c:pt idx="27">
                  <c:v>44810</c:v>
                </c:pt>
                <c:pt idx="28">
                  <c:v>44811</c:v>
                </c:pt>
                <c:pt idx="29">
                  <c:v>44812</c:v>
                </c:pt>
                <c:pt idx="30">
                  <c:v>44813</c:v>
                </c:pt>
                <c:pt idx="31">
                  <c:v>44816</c:v>
                </c:pt>
                <c:pt idx="32">
                  <c:v>44817</c:v>
                </c:pt>
                <c:pt idx="33">
                  <c:v>44818</c:v>
                </c:pt>
                <c:pt idx="34">
                  <c:v>44819</c:v>
                </c:pt>
                <c:pt idx="35">
                  <c:v>44820</c:v>
                </c:pt>
                <c:pt idx="36">
                  <c:v>44823</c:v>
                </c:pt>
                <c:pt idx="37">
                  <c:v>44824</c:v>
                </c:pt>
                <c:pt idx="38">
                  <c:v>44825</c:v>
                </c:pt>
                <c:pt idx="39">
                  <c:v>44826</c:v>
                </c:pt>
                <c:pt idx="40">
                  <c:v>44827</c:v>
                </c:pt>
                <c:pt idx="41">
                  <c:v>44830</c:v>
                </c:pt>
                <c:pt idx="42">
                  <c:v>44831</c:v>
                </c:pt>
                <c:pt idx="43">
                  <c:v>44832</c:v>
                </c:pt>
                <c:pt idx="44">
                  <c:v>44833</c:v>
                </c:pt>
                <c:pt idx="45">
                  <c:v>44834</c:v>
                </c:pt>
                <c:pt idx="46">
                  <c:v>44837</c:v>
                </c:pt>
                <c:pt idx="47">
                  <c:v>44838</c:v>
                </c:pt>
                <c:pt idx="48">
                  <c:v>44839</c:v>
                </c:pt>
                <c:pt idx="49">
                  <c:v>44840</c:v>
                </c:pt>
                <c:pt idx="50">
                  <c:v>44841</c:v>
                </c:pt>
                <c:pt idx="51">
                  <c:v>44844</c:v>
                </c:pt>
                <c:pt idx="52">
                  <c:v>44845</c:v>
                </c:pt>
                <c:pt idx="53">
                  <c:v>44846</c:v>
                </c:pt>
                <c:pt idx="54">
                  <c:v>44847</c:v>
                </c:pt>
                <c:pt idx="55">
                  <c:v>44848</c:v>
                </c:pt>
                <c:pt idx="56">
                  <c:v>44851</c:v>
                </c:pt>
                <c:pt idx="57">
                  <c:v>44852</c:v>
                </c:pt>
                <c:pt idx="58">
                  <c:v>44853</c:v>
                </c:pt>
                <c:pt idx="59">
                  <c:v>44854</c:v>
                </c:pt>
                <c:pt idx="60">
                  <c:v>44855</c:v>
                </c:pt>
                <c:pt idx="61">
                  <c:v>44858</c:v>
                </c:pt>
                <c:pt idx="62">
                  <c:v>44859</c:v>
                </c:pt>
                <c:pt idx="63">
                  <c:v>44860</c:v>
                </c:pt>
                <c:pt idx="64">
                  <c:v>44861</c:v>
                </c:pt>
                <c:pt idx="65">
                  <c:v>44862</c:v>
                </c:pt>
                <c:pt idx="66">
                  <c:v>44865</c:v>
                </c:pt>
                <c:pt idx="67">
                  <c:v>44866</c:v>
                </c:pt>
                <c:pt idx="68">
                  <c:v>44867</c:v>
                </c:pt>
                <c:pt idx="69">
                  <c:v>44868</c:v>
                </c:pt>
                <c:pt idx="70">
                  <c:v>44869</c:v>
                </c:pt>
                <c:pt idx="71">
                  <c:v>44872</c:v>
                </c:pt>
                <c:pt idx="72">
                  <c:v>44873</c:v>
                </c:pt>
                <c:pt idx="73">
                  <c:v>44874</c:v>
                </c:pt>
                <c:pt idx="74">
                  <c:v>44875</c:v>
                </c:pt>
                <c:pt idx="75">
                  <c:v>44876</c:v>
                </c:pt>
                <c:pt idx="76">
                  <c:v>44879</c:v>
                </c:pt>
                <c:pt idx="77">
                  <c:v>44880</c:v>
                </c:pt>
                <c:pt idx="78">
                  <c:v>44881</c:v>
                </c:pt>
                <c:pt idx="79">
                  <c:v>44882</c:v>
                </c:pt>
                <c:pt idx="80">
                  <c:v>44883</c:v>
                </c:pt>
                <c:pt idx="81">
                  <c:v>44886</c:v>
                </c:pt>
                <c:pt idx="82">
                  <c:v>44887</c:v>
                </c:pt>
                <c:pt idx="83">
                  <c:v>44888</c:v>
                </c:pt>
                <c:pt idx="84">
                  <c:v>44890</c:v>
                </c:pt>
                <c:pt idx="85">
                  <c:v>44893</c:v>
                </c:pt>
                <c:pt idx="86">
                  <c:v>44894</c:v>
                </c:pt>
                <c:pt idx="87">
                  <c:v>44895</c:v>
                </c:pt>
                <c:pt idx="88">
                  <c:v>44896</c:v>
                </c:pt>
                <c:pt idx="89">
                  <c:v>44897</c:v>
                </c:pt>
                <c:pt idx="90">
                  <c:v>44900</c:v>
                </c:pt>
                <c:pt idx="91">
                  <c:v>44901</c:v>
                </c:pt>
                <c:pt idx="92">
                  <c:v>44902</c:v>
                </c:pt>
                <c:pt idx="93">
                  <c:v>44903</c:v>
                </c:pt>
                <c:pt idx="94">
                  <c:v>44904</c:v>
                </c:pt>
                <c:pt idx="95">
                  <c:v>44907</c:v>
                </c:pt>
                <c:pt idx="96">
                  <c:v>44908</c:v>
                </c:pt>
                <c:pt idx="97">
                  <c:v>44909</c:v>
                </c:pt>
                <c:pt idx="98">
                  <c:v>44910</c:v>
                </c:pt>
                <c:pt idx="99">
                  <c:v>44911</c:v>
                </c:pt>
                <c:pt idx="100">
                  <c:v>44914</c:v>
                </c:pt>
                <c:pt idx="101">
                  <c:v>44915</c:v>
                </c:pt>
                <c:pt idx="102">
                  <c:v>44916</c:v>
                </c:pt>
                <c:pt idx="103">
                  <c:v>44917</c:v>
                </c:pt>
                <c:pt idx="104">
                  <c:v>44918</c:v>
                </c:pt>
                <c:pt idx="105">
                  <c:v>44922</c:v>
                </c:pt>
                <c:pt idx="106">
                  <c:v>44923</c:v>
                </c:pt>
                <c:pt idx="107">
                  <c:v>44924</c:v>
                </c:pt>
                <c:pt idx="108">
                  <c:v>44925</c:v>
                </c:pt>
                <c:pt idx="109">
                  <c:v>44929</c:v>
                </c:pt>
                <c:pt idx="110">
                  <c:v>44930</c:v>
                </c:pt>
                <c:pt idx="111">
                  <c:v>44931</c:v>
                </c:pt>
                <c:pt idx="112">
                  <c:v>44932</c:v>
                </c:pt>
                <c:pt idx="113">
                  <c:v>44935</c:v>
                </c:pt>
                <c:pt idx="114">
                  <c:v>44936</c:v>
                </c:pt>
                <c:pt idx="115">
                  <c:v>44937</c:v>
                </c:pt>
                <c:pt idx="116">
                  <c:v>44938</c:v>
                </c:pt>
                <c:pt idx="117">
                  <c:v>44939</c:v>
                </c:pt>
                <c:pt idx="118">
                  <c:v>44943</c:v>
                </c:pt>
                <c:pt idx="119">
                  <c:v>44944</c:v>
                </c:pt>
                <c:pt idx="120">
                  <c:v>44945</c:v>
                </c:pt>
                <c:pt idx="121">
                  <c:v>44946</c:v>
                </c:pt>
                <c:pt idx="122">
                  <c:v>44949</c:v>
                </c:pt>
                <c:pt idx="123">
                  <c:v>44950</c:v>
                </c:pt>
                <c:pt idx="124">
                  <c:v>44951</c:v>
                </c:pt>
                <c:pt idx="125">
                  <c:v>44952</c:v>
                </c:pt>
                <c:pt idx="126">
                  <c:v>44953</c:v>
                </c:pt>
                <c:pt idx="127">
                  <c:v>44956</c:v>
                </c:pt>
                <c:pt idx="128">
                  <c:v>44957</c:v>
                </c:pt>
                <c:pt idx="129">
                  <c:v>44958</c:v>
                </c:pt>
                <c:pt idx="130">
                  <c:v>44959</c:v>
                </c:pt>
                <c:pt idx="131">
                  <c:v>44960</c:v>
                </c:pt>
                <c:pt idx="132">
                  <c:v>44963</c:v>
                </c:pt>
                <c:pt idx="133">
                  <c:v>44964</c:v>
                </c:pt>
                <c:pt idx="134">
                  <c:v>44965</c:v>
                </c:pt>
                <c:pt idx="135">
                  <c:v>44966</c:v>
                </c:pt>
                <c:pt idx="136">
                  <c:v>44967</c:v>
                </c:pt>
                <c:pt idx="137">
                  <c:v>44970</c:v>
                </c:pt>
                <c:pt idx="138">
                  <c:v>44971</c:v>
                </c:pt>
                <c:pt idx="139">
                  <c:v>44972</c:v>
                </c:pt>
                <c:pt idx="140">
                  <c:v>44973</c:v>
                </c:pt>
                <c:pt idx="141">
                  <c:v>44974</c:v>
                </c:pt>
                <c:pt idx="142">
                  <c:v>44978</c:v>
                </c:pt>
                <c:pt idx="143">
                  <c:v>44979</c:v>
                </c:pt>
                <c:pt idx="144">
                  <c:v>44980</c:v>
                </c:pt>
                <c:pt idx="145">
                  <c:v>44981</c:v>
                </c:pt>
                <c:pt idx="146">
                  <c:v>44984</c:v>
                </c:pt>
                <c:pt idx="147">
                  <c:v>44985</c:v>
                </c:pt>
                <c:pt idx="148">
                  <c:v>44986</c:v>
                </c:pt>
                <c:pt idx="149">
                  <c:v>44987</c:v>
                </c:pt>
                <c:pt idx="150">
                  <c:v>44988</c:v>
                </c:pt>
                <c:pt idx="151">
                  <c:v>44991</c:v>
                </c:pt>
                <c:pt idx="152">
                  <c:v>44992</c:v>
                </c:pt>
                <c:pt idx="153">
                  <c:v>44993</c:v>
                </c:pt>
                <c:pt idx="154">
                  <c:v>44994</c:v>
                </c:pt>
                <c:pt idx="155">
                  <c:v>44995</c:v>
                </c:pt>
                <c:pt idx="156">
                  <c:v>44998</c:v>
                </c:pt>
                <c:pt idx="157">
                  <c:v>44999</c:v>
                </c:pt>
                <c:pt idx="158">
                  <c:v>45000</c:v>
                </c:pt>
                <c:pt idx="159">
                  <c:v>45001</c:v>
                </c:pt>
                <c:pt idx="160">
                  <c:v>45002</c:v>
                </c:pt>
                <c:pt idx="161">
                  <c:v>45005</c:v>
                </c:pt>
                <c:pt idx="162">
                  <c:v>45006</c:v>
                </c:pt>
                <c:pt idx="163">
                  <c:v>45007</c:v>
                </c:pt>
                <c:pt idx="164">
                  <c:v>45008</c:v>
                </c:pt>
                <c:pt idx="165">
                  <c:v>45009</c:v>
                </c:pt>
                <c:pt idx="166">
                  <c:v>45012</c:v>
                </c:pt>
                <c:pt idx="167">
                  <c:v>45013</c:v>
                </c:pt>
                <c:pt idx="168">
                  <c:v>45014</c:v>
                </c:pt>
                <c:pt idx="169">
                  <c:v>45015</c:v>
                </c:pt>
                <c:pt idx="170">
                  <c:v>45016</c:v>
                </c:pt>
                <c:pt idx="171">
                  <c:v>45019</c:v>
                </c:pt>
                <c:pt idx="172">
                  <c:v>45020</c:v>
                </c:pt>
                <c:pt idx="173">
                  <c:v>45021</c:v>
                </c:pt>
                <c:pt idx="174">
                  <c:v>45022</c:v>
                </c:pt>
                <c:pt idx="175">
                  <c:v>45026</c:v>
                </c:pt>
                <c:pt idx="176">
                  <c:v>45027</c:v>
                </c:pt>
                <c:pt idx="177">
                  <c:v>45028</c:v>
                </c:pt>
                <c:pt idx="178">
                  <c:v>45029</c:v>
                </c:pt>
                <c:pt idx="179">
                  <c:v>45030</c:v>
                </c:pt>
                <c:pt idx="180">
                  <c:v>45033</c:v>
                </c:pt>
                <c:pt idx="181">
                  <c:v>45034</c:v>
                </c:pt>
                <c:pt idx="182">
                  <c:v>45035</c:v>
                </c:pt>
                <c:pt idx="183">
                  <c:v>45036</c:v>
                </c:pt>
                <c:pt idx="184">
                  <c:v>45037</c:v>
                </c:pt>
                <c:pt idx="185">
                  <c:v>45040</c:v>
                </c:pt>
                <c:pt idx="186">
                  <c:v>45041</c:v>
                </c:pt>
                <c:pt idx="187">
                  <c:v>45042</c:v>
                </c:pt>
                <c:pt idx="188">
                  <c:v>45043</c:v>
                </c:pt>
                <c:pt idx="189">
                  <c:v>45044</c:v>
                </c:pt>
                <c:pt idx="190">
                  <c:v>45047</c:v>
                </c:pt>
                <c:pt idx="191">
                  <c:v>45048</c:v>
                </c:pt>
                <c:pt idx="192">
                  <c:v>45049</c:v>
                </c:pt>
                <c:pt idx="193">
                  <c:v>45050</c:v>
                </c:pt>
                <c:pt idx="194">
                  <c:v>45051</c:v>
                </c:pt>
                <c:pt idx="195">
                  <c:v>45054</c:v>
                </c:pt>
                <c:pt idx="196">
                  <c:v>45055</c:v>
                </c:pt>
                <c:pt idx="197">
                  <c:v>45056</c:v>
                </c:pt>
                <c:pt idx="198">
                  <c:v>45057</c:v>
                </c:pt>
                <c:pt idx="199">
                  <c:v>45058</c:v>
                </c:pt>
                <c:pt idx="200">
                  <c:v>45061</c:v>
                </c:pt>
                <c:pt idx="201">
                  <c:v>45062</c:v>
                </c:pt>
                <c:pt idx="202">
                  <c:v>45063</c:v>
                </c:pt>
                <c:pt idx="203">
                  <c:v>45064</c:v>
                </c:pt>
                <c:pt idx="204">
                  <c:v>45065</c:v>
                </c:pt>
                <c:pt idx="205">
                  <c:v>45068</c:v>
                </c:pt>
                <c:pt idx="206">
                  <c:v>45069</c:v>
                </c:pt>
                <c:pt idx="207">
                  <c:v>45070</c:v>
                </c:pt>
                <c:pt idx="208">
                  <c:v>45071</c:v>
                </c:pt>
                <c:pt idx="209">
                  <c:v>45072</c:v>
                </c:pt>
                <c:pt idx="210">
                  <c:v>45076</c:v>
                </c:pt>
                <c:pt idx="211">
                  <c:v>45077</c:v>
                </c:pt>
                <c:pt idx="212">
                  <c:v>45078</c:v>
                </c:pt>
                <c:pt idx="213">
                  <c:v>45079</c:v>
                </c:pt>
                <c:pt idx="214">
                  <c:v>45082</c:v>
                </c:pt>
                <c:pt idx="215">
                  <c:v>45083</c:v>
                </c:pt>
                <c:pt idx="216">
                  <c:v>45084</c:v>
                </c:pt>
                <c:pt idx="217">
                  <c:v>45085</c:v>
                </c:pt>
                <c:pt idx="218">
                  <c:v>45086</c:v>
                </c:pt>
                <c:pt idx="219">
                  <c:v>45089</c:v>
                </c:pt>
                <c:pt idx="220">
                  <c:v>45090</c:v>
                </c:pt>
                <c:pt idx="221">
                  <c:v>45091</c:v>
                </c:pt>
                <c:pt idx="222">
                  <c:v>45092</c:v>
                </c:pt>
                <c:pt idx="223">
                  <c:v>45093</c:v>
                </c:pt>
                <c:pt idx="224">
                  <c:v>45097</c:v>
                </c:pt>
                <c:pt idx="225">
                  <c:v>45098</c:v>
                </c:pt>
                <c:pt idx="226">
                  <c:v>45099</c:v>
                </c:pt>
                <c:pt idx="227">
                  <c:v>45100</c:v>
                </c:pt>
                <c:pt idx="228">
                  <c:v>45103</c:v>
                </c:pt>
                <c:pt idx="229">
                  <c:v>45104</c:v>
                </c:pt>
                <c:pt idx="230">
                  <c:v>45105</c:v>
                </c:pt>
                <c:pt idx="231">
                  <c:v>45106</c:v>
                </c:pt>
                <c:pt idx="232">
                  <c:v>45107</c:v>
                </c:pt>
                <c:pt idx="233">
                  <c:v>45110</c:v>
                </c:pt>
                <c:pt idx="234">
                  <c:v>45112</c:v>
                </c:pt>
                <c:pt idx="235">
                  <c:v>45113</c:v>
                </c:pt>
                <c:pt idx="236">
                  <c:v>45114</c:v>
                </c:pt>
                <c:pt idx="237">
                  <c:v>45117</c:v>
                </c:pt>
                <c:pt idx="238">
                  <c:v>45118</c:v>
                </c:pt>
                <c:pt idx="239">
                  <c:v>45119</c:v>
                </c:pt>
                <c:pt idx="240">
                  <c:v>45120</c:v>
                </c:pt>
                <c:pt idx="241">
                  <c:v>45121</c:v>
                </c:pt>
                <c:pt idx="242">
                  <c:v>45124</c:v>
                </c:pt>
                <c:pt idx="243">
                  <c:v>45125</c:v>
                </c:pt>
                <c:pt idx="244">
                  <c:v>45126</c:v>
                </c:pt>
                <c:pt idx="245">
                  <c:v>45127</c:v>
                </c:pt>
                <c:pt idx="246">
                  <c:v>45128</c:v>
                </c:pt>
                <c:pt idx="247">
                  <c:v>45131</c:v>
                </c:pt>
                <c:pt idx="248">
                  <c:v>45132</c:v>
                </c:pt>
                <c:pt idx="249">
                  <c:v>45133</c:v>
                </c:pt>
                <c:pt idx="250">
                  <c:v>45134</c:v>
                </c:pt>
                <c:pt idx="251">
                  <c:v>45135</c:v>
                </c:pt>
                <c:pt idx="252">
                  <c:v>45138</c:v>
                </c:pt>
                <c:pt idx="253">
                  <c:v>45139</c:v>
                </c:pt>
                <c:pt idx="254">
                  <c:v>45140</c:v>
                </c:pt>
                <c:pt idx="255">
                  <c:v>45141</c:v>
                </c:pt>
                <c:pt idx="256">
                  <c:v>45142</c:v>
                </c:pt>
                <c:pt idx="257">
                  <c:v>45145</c:v>
                </c:pt>
                <c:pt idx="258">
                  <c:v>45146</c:v>
                </c:pt>
                <c:pt idx="259">
                  <c:v>45147</c:v>
                </c:pt>
                <c:pt idx="260">
                  <c:v>45148</c:v>
                </c:pt>
                <c:pt idx="261">
                  <c:v>45149</c:v>
                </c:pt>
                <c:pt idx="262">
                  <c:v>45152</c:v>
                </c:pt>
                <c:pt idx="263">
                  <c:v>45153</c:v>
                </c:pt>
                <c:pt idx="264">
                  <c:v>45154</c:v>
                </c:pt>
                <c:pt idx="265">
                  <c:v>45155</c:v>
                </c:pt>
                <c:pt idx="266">
                  <c:v>45156</c:v>
                </c:pt>
                <c:pt idx="267">
                  <c:v>45159</c:v>
                </c:pt>
                <c:pt idx="268">
                  <c:v>45160</c:v>
                </c:pt>
                <c:pt idx="269">
                  <c:v>45161</c:v>
                </c:pt>
                <c:pt idx="270">
                  <c:v>45162</c:v>
                </c:pt>
                <c:pt idx="271">
                  <c:v>45163</c:v>
                </c:pt>
                <c:pt idx="272">
                  <c:v>45166</c:v>
                </c:pt>
                <c:pt idx="273">
                  <c:v>45167</c:v>
                </c:pt>
                <c:pt idx="274">
                  <c:v>45168</c:v>
                </c:pt>
                <c:pt idx="275">
                  <c:v>45169</c:v>
                </c:pt>
                <c:pt idx="276">
                  <c:v>45170</c:v>
                </c:pt>
                <c:pt idx="277">
                  <c:v>45174</c:v>
                </c:pt>
                <c:pt idx="278">
                  <c:v>45175</c:v>
                </c:pt>
                <c:pt idx="279">
                  <c:v>45176</c:v>
                </c:pt>
                <c:pt idx="280">
                  <c:v>45177</c:v>
                </c:pt>
                <c:pt idx="281">
                  <c:v>45180</c:v>
                </c:pt>
                <c:pt idx="282">
                  <c:v>45181</c:v>
                </c:pt>
                <c:pt idx="283">
                  <c:v>45182</c:v>
                </c:pt>
                <c:pt idx="284">
                  <c:v>45183</c:v>
                </c:pt>
                <c:pt idx="285">
                  <c:v>45184</c:v>
                </c:pt>
                <c:pt idx="286">
                  <c:v>45187</c:v>
                </c:pt>
                <c:pt idx="287">
                  <c:v>45188</c:v>
                </c:pt>
                <c:pt idx="288">
                  <c:v>45189</c:v>
                </c:pt>
                <c:pt idx="289">
                  <c:v>45190</c:v>
                </c:pt>
                <c:pt idx="290">
                  <c:v>45191</c:v>
                </c:pt>
                <c:pt idx="291">
                  <c:v>45194</c:v>
                </c:pt>
                <c:pt idx="292">
                  <c:v>45195</c:v>
                </c:pt>
                <c:pt idx="293">
                  <c:v>45196</c:v>
                </c:pt>
                <c:pt idx="294">
                  <c:v>45197</c:v>
                </c:pt>
                <c:pt idx="295">
                  <c:v>45198</c:v>
                </c:pt>
                <c:pt idx="296">
                  <c:v>45201</c:v>
                </c:pt>
                <c:pt idx="297">
                  <c:v>45202</c:v>
                </c:pt>
                <c:pt idx="298">
                  <c:v>45203</c:v>
                </c:pt>
                <c:pt idx="299">
                  <c:v>45204</c:v>
                </c:pt>
                <c:pt idx="300">
                  <c:v>45205</c:v>
                </c:pt>
                <c:pt idx="301">
                  <c:v>45208</c:v>
                </c:pt>
                <c:pt idx="302">
                  <c:v>45209</c:v>
                </c:pt>
                <c:pt idx="303">
                  <c:v>45210</c:v>
                </c:pt>
                <c:pt idx="304">
                  <c:v>45211</c:v>
                </c:pt>
                <c:pt idx="305">
                  <c:v>45212</c:v>
                </c:pt>
                <c:pt idx="306">
                  <c:v>45215</c:v>
                </c:pt>
                <c:pt idx="307">
                  <c:v>45216</c:v>
                </c:pt>
                <c:pt idx="308">
                  <c:v>45217</c:v>
                </c:pt>
                <c:pt idx="309">
                  <c:v>45218</c:v>
                </c:pt>
                <c:pt idx="310">
                  <c:v>45219</c:v>
                </c:pt>
                <c:pt idx="311">
                  <c:v>45222</c:v>
                </c:pt>
                <c:pt idx="312">
                  <c:v>45223</c:v>
                </c:pt>
                <c:pt idx="313">
                  <c:v>45224</c:v>
                </c:pt>
                <c:pt idx="314">
                  <c:v>45225</c:v>
                </c:pt>
                <c:pt idx="315">
                  <c:v>45226</c:v>
                </c:pt>
                <c:pt idx="316">
                  <c:v>45229</c:v>
                </c:pt>
                <c:pt idx="317">
                  <c:v>45230</c:v>
                </c:pt>
                <c:pt idx="318">
                  <c:v>45231</c:v>
                </c:pt>
                <c:pt idx="319">
                  <c:v>45232</c:v>
                </c:pt>
                <c:pt idx="320">
                  <c:v>45233</c:v>
                </c:pt>
                <c:pt idx="321">
                  <c:v>45236</c:v>
                </c:pt>
                <c:pt idx="322">
                  <c:v>45237</c:v>
                </c:pt>
                <c:pt idx="323">
                  <c:v>45238</c:v>
                </c:pt>
                <c:pt idx="324">
                  <c:v>45239</c:v>
                </c:pt>
                <c:pt idx="325">
                  <c:v>45240</c:v>
                </c:pt>
                <c:pt idx="326">
                  <c:v>45243</c:v>
                </c:pt>
                <c:pt idx="327">
                  <c:v>45244</c:v>
                </c:pt>
                <c:pt idx="328">
                  <c:v>45245</c:v>
                </c:pt>
                <c:pt idx="329">
                  <c:v>45246</c:v>
                </c:pt>
                <c:pt idx="330">
                  <c:v>45247</c:v>
                </c:pt>
                <c:pt idx="331">
                  <c:v>45250</c:v>
                </c:pt>
                <c:pt idx="332">
                  <c:v>45251</c:v>
                </c:pt>
                <c:pt idx="333">
                  <c:v>45252</c:v>
                </c:pt>
                <c:pt idx="334">
                  <c:v>45254</c:v>
                </c:pt>
                <c:pt idx="335">
                  <c:v>45257</c:v>
                </c:pt>
                <c:pt idx="336">
                  <c:v>45258</c:v>
                </c:pt>
                <c:pt idx="337">
                  <c:v>45259</c:v>
                </c:pt>
                <c:pt idx="338">
                  <c:v>45260</c:v>
                </c:pt>
                <c:pt idx="339">
                  <c:v>45261</c:v>
                </c:pt>
                <c:pt idx="340">
                  <c:v>45264</c:v>
                </c:pt>
                <c:pt idx="341">
                  <c:v>45265</c:v>
                </c:pt>
                <c:pt idx="342">
                  <c:v>45266</c:v>
                </c:pt>
                <c:pt idx="343">
                  <c:v>45267</c:v>
                </c:pt>
                <c:pt idx="344">
                  <c:v>45268</c:v>
                </c:pt>
                <c:pt idx="345">
                  <c:v>45271</c:v>
                </c:pt>
                <c:pt idx="346">
                  <c:v>45272</c:v>
                </c:pt>
                <c:pt idx="347">
                  <c:v>45273</c:v>
                </c:pt>
                <c:pt idx="348">
                  <c:v>45274</c:v>
                </c:pt>
                <c:pt idx="349">
                  <c:v>45275</c:v>
                </c:pt>
                <c:pt idx="350">
                  <c:v>45278</c:v>
                </c:pt>
                <c:pt idx="351">
                  <c:v>45279</c:v>
                </c:pt>
                <c:pt idx="352">
                  <c:v>45280</c:v>
                </c:pt>
                <c:pt idx="353">
                  <c:v>45281</c:v>
                </c:pt>
                <c:pt idx="354">
                  <c:v>45282</c:v>
                </c:pt>
                <c:pt idx="355">
                  <c:v>45286</c:v>
                </c:pt>
                <c:pt idx="356">
                  <c:v>45287</c:v>
                </c:pt>
                <c:pt idx="357">
                  <c:v>45288</c:v>
                </c:pt>
                <c:pt idx="358">
                  <c:v>45289</c:v>
                </c:pt>
                <c:pt idx="359">
                  <c:v>45293</c:v>
                </c:pt>
                <c:pt idx="360">
                  <c:v>45294</c:v>
                </c:pt>
                <c:pt idx="361">
                  <c:v>45295</c:v>
                </c:pt>
                <c:pt idx="362">
                  <c:v>45296</c:v>
                </c:pt>
                <c:pt idx="363">
                  <c:v>45299</c:v>
                </c:pt>
                <c:pt idx="364">
                  <c:v>45300</c:v>
                </c:pt>
                <c:pt idx="365">
                  <c:v>45301</c:v>
                </c:pt>
                <c:pt idx="366">
                  <c:v>45302</c:v>
                </c:pt>
                <c:pt idx="367">
                  <c:v>45303</c:v>
                </c:pt>
                <c:pt idx="368">
                  <c:v>45307</c:v>
                </c:pt>
                <c:pt idx="369">
                  <c:v>45308</c:v>
                </c:pt>
                <c:pt idx="370">
                  <c:v>45309</c:v>
                </c:pt>
                <c:pt idx="371">
                  <c:v>45310</c:v>
                </c:pt>
                <c:pt idx="372">
                  <c:v>45313</c:v>
                </c:pt>
                <c:pt idx="373">
                  <c:v>45314</c:v>
                </c:pt>
                <c:pt idx="374">
                  <c:v>45315</c:v>
                </c:pt>
                <c:pt idx="375">
                  <c:v>45316</c:v>
                </c:pt>
                <c:pt idx="376">
                  <c:v>45317</c:v>
                </c:pt>
                <c:pt idx="377">
                  <c:v>45320</c:v>
                </c:pt>
                <c:pt idx="378">
                  <c:v>45321</c:v>
                </c:pt>
                <c:pt idx="379">
                  <c:v>45322</c:v>
                </c:pt>
                <c:pt idx="380">
                  <c:v>45323</c:v>
                </c:pt>
                <c:pt idx="381">
                  <c:v>45324</c:v>
                </c:pt>
                <c:pt idx="382">
                  <c:v>45327</c:v>
                </c:pt>
                <c:pt idx="383">
                  <c:v>45328</c:v>
                </c:pt>
                <c:pt idx="384">
                  <c:v>45329</c:v>
                </c:pt>
                <c:pt idx="385">
                  <c:v>45330</c:v>
                </c:pt>
                <c:pt idx="386">
                  <c:v>45331</c:v>
                </c:pt>
                <c:pt idx="387">
                  <c:v>45334</c:v>
                </c:pt>
                <c:pt idx="388">
                  <c:v>45335</c:v>
                </c:pt>
                <c:pt idx="389">
                  <c:v>45336</c:v>
                </c:pt>
                <c:pt idx="390">
                  <c:v>45337</c:v>
                </c:pt>
                <c:pt idx="391">
                  <c:v>45338</c:v>
                </c:pt>
                <c:pt idx="392">
                  <c:v>45342</c:v>
                </c:pt>
                <c:pt idx="393">
                  <c:v>45343</c:v>
                </c:pt>
                <c:pt idx="394">
                  <c:v>45344</c:v>
                </c:pt>
                <c:pt idx="395">
                  <c:v>45345</c:v>
                </c:pt>
                <c:pt idx="396">
                  <c:v>45348</c:v>
                </c:pt>
                <c:pt idx="397">
                  <c:v>45349</c:v>
                </c:pt>
                <c:pt idx="398">
                  <c:v>45350</c:v>
                </c:pt>
                <c:pt idx="399">
                  <c:v>45351</c:v>
                </c:pt>
                <c:pt idx="400">
                  <c:v>45352</c:v>
                </c:pt>
                <c:pt idx="401">
                  <c:v>45355</c:v>
                </c:pt>
                <c:pt idx="402">
                  <c:v>45356</c:v>
                </c:pt>
                <c:pt idx="403">
                  <c:v>45357</c:v>
                </c:pt>
                <c:pt idx="404">
                  <c:v>45358</c:v>
                </c:pt>
                <c:pt idx="405">
                  <c:v>45359</c:v>
                </c:pt>
                <c:pt idx="406">
                  <c:v>45362</c:v>
                </c:pt>
                <c:pt idx="407">
                  <c:v>45363</c:v>
                </c:pt>
                <c:pt idx="408">
                  <c:v>45364</c:v>
                </c:pt>
                <c:pt idx="409">
                  <c:v>45365</c:v>
                </c:pt>
                <c:pt idx="410">
                  <c:v>45366</c:v>
                </c:pt>
                <c:pt idx="411">
                  <c:v>45369</c:v>
                </c:pt>
                <c:pt idx="412">
                  <c:v>45370</c:v>
                </c:pt>
                <c:pt idx="413">
                  <c:v>45371</c:v>
                </c:pt>
                <c:pt idx="414">
                  <c:v>45372</c:v>
                </c:pt>
                <c:pt idx="415">
                  <c:v>45373</c:v>
                </c:pt>
                <c:pt idx="416">
                  <c:v>45376</c:v>
                </c:pt>
                <c:pt idx="417">
                  <c:v>45377</c:v>
                </c:pt>
                <c:pt idx="418">
                  <c:v>45378</c:v>
                </c:pt>
                <c:pt idx="419">
                  <c:v>45379</c:v>
                </c:pt>
                <c:pt idx="420">
                  <c:v>45383</c:v>
                </c:pt>
                <c:pt idx="421">
                  <c:v>45384</c:v>
                </c:pt>
                <c:pt idx="422">
                  <c:v>45385</c:v>
                </c:pt>
                <c:pt idx="423">
                  <c:v>45386</c:v>
                </c:pt>
                <c:pt idx="424">
                  <c:v>45387</c:v>
                </c:pt>
                <c:pt idx="425">
                  <c:v>45390</c:v>
                </c:pt>
                <c:pt idx="426">
                  <c:v>45391</c:v>
                </c:pt>
                <c:pt idx="427">
                  <c:v>45392</c:v>
                </c:pt>
                <c:pt idx="428">
                  <c:v>45393</c:v>
                </c:pt>
                <c:pt idx="429">
                  <c:v>45394</c:v>
                </c:pt>
                <c:pt idx="430">
                  <c:v>45397</c:v>
                </c:pt>
                <c:pt idx="431">
                  <c:v>45398</c:v>
                </c:pt>
                <c:pt idx="432">
                  <c:v>45399</c:v>
                </c:pt>
                <c:pt idx="433">
                  <c:v>45400</c:v>
                </c:pt>
                <c:pt idx="434">
                  <c:v>45401</c:v>
                </c:pt>
                <c:pt idx="435">
                  <c:v>45404</c:v>
                </c:pt>
                <c:pt idx="436">
                  <c:v>45405</c:v>
                </c:pt>
                <c:pt idx="437">
                  <c:v>45406</c:v>
                </c:pt>
                <c:pt idx="438">
                  <c:v>45407</c:v>
                </c:pt>
                <c:pt idx="439">
                  <c:v>45408</c:v>
                </c:pt>
                <c:pt idx="440">
                  <c:v>45411</c:v>
                </c:pt>
                <c:pt idx="441">
                  <c:v>45412</c:v>
                </c:pt>
                <c:pt idx="442">
                  <c:v>45413</c:v>
                </c:pt>
                <c:pt idx="443">
                  <c:v>45414</c:v>
                </c:pt>
                <c:pt idx="444">
                  <c:v>45415</c:v>
                </c:pt>
                <c:pt idx="445">
                  <c:v>45418</c:v>
                </c:pt>
                <c:pt idx="446">
                  <c:v>45419</c:v>
                </c:pt>
                <c:pt idx="447">
                  <c:v>45420</c:v>
                </c:pt>
                <c:pt idx="448">
                  <c:v>45421</c:v>
                </c:pt>
                <c:pt idx="449">
                  <c:v>45422</c:v>
                </c:pt>
                <c:pt idx="450">
                  <c:v>45425</c:v>
                </c:pt>
                <c:pt idx="451">
                  <c:v>45426</c:v>
                </c:pt>
                <c:pt idx="452">
                  <c:v>45427</c:v>
                </c:pt>
                <c:pt idx="453">
                  <c:v>45428</c:v>
                </c:pt>
                <c:pt idx="454">
                  <c:v>45429</c:v>
                </c:pt>
                <c:pt idx="455">
                  <c:v>45432</c:v>
                </c:pt>
                <c:pt idx="456">
                  <c:v>45433</c:v>
                </c:pt>
                <c:pt idx="457">
                  <c:v>45434</c:v>
                </c:pt>
                <c:pt idx="458">
                  <c:v>45435</c:v>
                </c:pt>
                <c:pt idx="459">
                  <c:v>45436</c:v>
                </c:pt>
                <c:pt idx="460">
                  <c:v>45440</c:v>
                </c:pt>
                <c:pt idx="461">
                  <c:v>45441</c:v>
                </c:pt>
                <c:pt idx="462">
                  <c:v>45442</c:v>
                </c:pt>
                <c:pt idx="463">
                  <c:v>45443</c:v>
                </c:pt>
                <c:pt idx="464">
                  <c:v>45446</c:v>
                </c:pt>
                <c:pt idx="465">
                  <c:v>45447</c:v>
                </c:pt>
                <c:pt idx="466">
                  <c:v>45448</c:v>
                </c:pt>
                <c:pt idx="467">
                  <c:v>45449</c:v>
                </c:pt>
                <c:pt idx="468">
                  <c:v>45450</c:v>
                </c:pt>
                <c:pt idx="469">
                  <c:v>45453</c:v>
                </c:pt>
                <c:pt idx="470">
                  <c:v>45454</c:v>
                </c:pt>
                <c:pt idx="471">
                  <c:v>45455</c:v>
                </c:pt>
                <c:pt idx="472">
                  <c:v>45456</c:v>
                </c:pt>
                <c:pt idx="473">
                  <c:v>45457</c:v>
                </c:pt>
                <c:pt idx="474">
                  <c:v>45460</c:v>
                </c:pt>
                <c:pt idx="475">
                  <c:v>45461</c:v>
                </c:pt>
                <c:pt idx="476">
                  <c:v>45463</c:v>
                </c:pt>
                <c:pt idx="477">
                  <c:v>45464</c:v>
                </c:pt>
                <c:pt idx="478">
                  <c:v>45467</c:v>
                </c:pt>
                <c:pt idx="479">
                  <c:v>45468</c:v>
                </c:pt>
                <c:pt idx="480">
                  <c:v>45469</c:v>
                </c:pt>
                <c:pt idx="481">
                  <c:v>45470</c:v>
                </c:pt>
                <c:pt idx="482">
                  <c:v>45471</c:v>
                </c:pt>
                <c:pt idx="483">
                  <c:v>45474</c:v>
                </c:pt>
                <c:pt idx="484">
                  <c:v>45475</c:v>
                </c:pt>
                <c:pt idx="485">
                  <c:v>45476</c:v>
                </c:pt>
                <c:pt idx="486">
                  <c:v>45478</c:v>
                </c:pt>
                <c:pt idx="487">
                  <c:v>45481</c:v>
                </c:pt>
                <c:pt idx="488">
                  <c:v>45482</c:v>
                </c:pt>
                <c:pt idx="489">
                  <c:v>45483</c:v>
                </c:pt>
                <c:pt idx="490">
                  <c:v>45484</c:v>
                </c:pt>
                <c:pt idx="491">
                  <c:v>45485</c:v>
                </c:pt>
                <c:pt idx="492">
                  <c:v>45488</c:v>
                </c:pt>
                <c:pt idx="493">
                  <c:v>45489</c:v>
                </c:pt>
                <c:pt idx="494">
                  <c:v>45490</c:v>
                </c:pt>
                <c:pt idx="495">
                  <c:v>45491</c:v>
                </c:pt>
                <c:pt idx="496">
                  <c:v>45492</c:v>
                </c:pt>
                <c:pt idx="497">
                  <c:v>45495</c:v>
                </c:pt>
                <c:pt idx="498">
                  <c:v>45496</c:v>
                </c:pt>
                <c:pt idx="499">
                  <c:v>45497</c:v>
                </c:pt>
                <c:pt idx="500">
                  <c:v>45498</c:v>
                </c:pt>
                <c:pt idx="501">
                  <c:v>45499</c:v>
                </c:pt>
                <c:pt idx="502">
                  <c:v>45502</c:v>
                </c:pt>
                <c:pt idx="503">
                  <c:v>45503</c:v>
                </c:pt>
                <c:pt idx="504">
                  <c:v>45504</c:v>
                </c:pt>
                <c:pt idx="505">
                  <c:v>45505</c:v>
                </c:pt>
                <c:pt idx="506">
                  <c:v>45506</c:v>
                </c:pt>
                <c:pt idx="507">
                  <c:v>45509</c:v>
                </c:pt>
                <c:pt idx="508">
                  <c:v>45510</c:v>
                </c:pt>
                <c:pt idx="509">
                  <c:v>45511</c:v>
                </c:pt>
                <c:pt idx="510">
                  <c:v>45512</c:v>
                </c:pt>
                <c:pt idx="511">
                  <c:v>45513</c:v>
                </c:pt>
                <c:pt idx="512">
                  <c:v>45516</c:v>
                </c:pt>
                <c:pt idx="513">
                  <c:v>45517</c:v>
                </c:pt>
                <c:pt idx="514">
                  <c:v>45518</c:v>
                </c:pt>
                <c:pt idx="515">
                  <c:v>45519</c:v>
                </c:pt>
                <c:pt idx="516">
                  <c:v>45520</c:v>
                </c:pt>
                <c:pt idx="517">
                  <c:v>45523</c:v>
                </c:pt>
                <c:pt idx="518">
                  <c:v>45524</c:v>
                </c:pt>
                <c:pt idx="519">
                  <c:v>45525</c:v>
                </c:pt>
                <c:pt idx="520">
                  <c:v>45526</c:v>
                </c:pt>
                <c:pt idx="521">
                  <c:v>45527</c:v>
                </c:pt>
                <c:pt idx="522">
                  <c:v>45530</c:v>
                </c:pt>
                <c:pt idx="523">
                  <c:v>45531</c:v>
                </c:pt>
                <c:pt idx="524">
                  <c:v>45532</c:v>
                </c:pt>
                <c:pt idx="525">
                  <c:v>45533</c:v>
                </c:pt>
                <c:pt idx="526">
                  <c:v>45534</c:v>
                </c:pt>
                <c:pt idx="527">
                  <c:v>45538</c:v>
                </c:pt>
                <c:pt idx="528">
                  <c:v>45539</c:v>
                </c:pt>
                <c:pt idx="529">
                  <c:v>45540</c:v>
                </c:pt>
                <c:pt idx="530">
                  <c:v>45541</c:v>
                </c:pt>
                <c:pt idx="531">
                  <c:v>45544</c:v>
                </c:pt>
                <c:pt idx="532">
                  <c:v>45545</c:v>
                </c:pt>
                <c:pt idx="533">
                  <c:v>45546</c:v>
                </c:pt>
                <c:pt idx="534">
                  <c:v>45547</c:v>
                </c:pt>
                <c:pt idx="535">
                  <c:v>45548</c:v>
                </c:pt>
                <c:pt idx="536">
                  <c:v>45551</c:v>
                </c:pt>
                <c:pt idx="537">
                  <c:v>45552</c:v>
                </c:pt>
                <c:pt idx="538">
                  <c:v>45553</c:v>
                </c:pt>
                <c:pt idx="539">
                  <c:v>45554</c:v>
                </c:pt>
                <c:pt idx="540">
                  <c:v>45555</c:v>
                </c:pt>
                <c:pt idx="541">
                  <c:v>45558</c:v>
                </c:pt>
                <c:pt idx="542">
                  <c:v>45559</c:v>
                </c:pt>
                <c:pt idx="543">
                  <c:v>45560</c:v>
                </c:pt>
                <c:pt idx="544">
                  <c:v>45561</c:v>
                </c:pt>
                <c:pt idx="545">
                  <c:v>45562</c:v>
                </c:pt>
                <c:pt idx="546">
                  <c:v>45565</c:v>
                </c:pt>
                <c:pt idx="547">
                  <c:v>45566</c:v>
                </c:pt>
                <c:pt idx="548">
                  <c:v>45567</c:v>
                </c:pt>
                <c:pt idx="549">
                  <c:v>45568</c:v>
                </c:pt>
                <c:pt idx="550">
                  <c:v>45569</c:v>
                </c:pt>
                <c:pt idx="551">
                  <c:v>45572</c:v>
                </c:pt>
                <c:pt idx="552">
                  <c:v>45573</c:v>
                </c:pt>
                <c:pt idx="553">
                  <c:v>45574</c:v>
                </c:pt>
                <c:pt idx="554">
                  <c:v>45575</c:v>
                </c:pt>
                <c:pt idx="555">
                  <c:v>45576</c:v>
                </c:pt>
                <c:pt idx="556">
                  <c:v>45579</c:v>
                </c:pt>
                <c:pt idx="557">
                  <c:v>45580</c:v>
                </c:pt>
                <c:pt idx="558">
                  <c:v>45581</c:v>
                </c:pt>
                <c:pt idx="559">
                  <c:v>45582</c:v>
                </c:pt>
                <c:pt idx="560">
                  <c:v>45583</c:v>
                </c:pt>
                <c:pt idx="561">
                  <c:v>45586</c:v>
                </c:pt>
                <c:pt idx="562">
                  <c:v>45587</c:v>
                </c:pt>
                <c:pt idx="563">
                  <c:v>45588</c:v>
                </c:pt>
                <c:pt idx="564">
                  <c:v>45589</c:v>
                </c:pt>
                <c:pt idx="565">
                  <c:v>45590</c:v>
                </c:pt>
                <c:pt idx="566">
                  <c:v>45593</c:v>
                </c:pt>
                <c:pt idx="567">
                  <c:v>45594</c:v>
                </c:pt>
                <c:pt idx="568">
                  <c:v>45595</c:v>
                </c:pt>
                <c:pt idx="569">
                  <c:v>45596</c:v>
                </c:pt>
                <c:pt idx="570">
                  <c:v>45597</c:v>
                </c:pt>
                <c:pt idx="571">
                  <c:v>45600</c:v>
                </c:pt>
                <c:pt idx="572">
                  <c:v>45601</c:v>
                </c:pt>
                <c:pt idx="573">
                  <c:v>45602</c:v>
                </c:pt>
                <c:pt idx="574">
                  <c:v>45603</c:v>
                </c:pt>
                <c:pt idx="575">
                  <c:v>45604</c:v>
                </c:pt>
                <c:pt idx="576">
                  <c:v>45607</c:v>
                </c:pt>
                <c:pt idx="577">
                  <c:v>45608</c:v>
                </c:pt>
                <c:pt idx="578">
                  <c:v>45609</c:v>
                </c:pt>
                <c:pt idx="579">
                  <c:v>45610</c:v>
                </c:pt>
                <c:pt idx="580">
                  <c:v>45611</c:v>
                </c:pt>
                <c:pt idx="581">
                  <c:v>45614</c:v>
                </c:pt>
                <c:pt idx="582">
                  <c:v>45615</c:v>
                </c:pt>
                <c:pt idx="583">
                  <c:v>45616</c:v>
                </c:pt>
                <c:pt idx="584">
                  <c:v>45617</c:v>
                </c:pt>
                <c:pt idx="585">
                  <c:v>45618</c:v>
                </c:pt>
                <c:pt idx="586">
                  <c:v>45621</c:v>
                </c:pt>
                <c:pt idx="587">
                  <c:v>45622</c:v>
                </c:pt>
                <c:pt idx="588">
                  <c:v>45623</c:v>
                </c:pt>
                <c:pt idx="589">
                  <c:v>45625</c:v>
                </c:pt>
                <c:pt idx="590">
                  <c:v>45628</c:v>
                </c:pt>
                <c:pt idx="591">
                  <c:v>45629</c:v>
                </c:pt>
                <c:pt idx="592">
                  <c:v>45630</c:v>
                </c:pt>
                <c:pt idx="593">
                  <c:v>45631</c:v>
                </c:pt>
                <c:pt idx="594">
                  <c:v>45632</c:v>
                </c:pt>
                <c:pt idx="595">
                  <c:v>45635</c:v>
                </c:pt>
                <c:pt idx="596">
                  <c:v>45636</c:v>
                </c:pt>
                <c:pt idx="597">
                  <c:v>45637</c:v>
                </c:pt>
                <c:pt idx="598">
                  <c:v>45638</c:v>
                </c:pt>
                <c:pt idx="599">
                  <c:v>45639</c:v>
                </c:pt>
                <c:pt idx="600">
                  <c:v>45642</c:v>
                </c:pt>
                <c:pt idx="601">
                  <c:v>45643</c:v>
                </c:pt>
                <c:pt idx="602">
                  <c:v>45644</c:v>
                </c:pt>
                <c:pt idx="603">
                  <c:v>45645</c:v>
                </c:pt>
                <c:pt idx="604">
                  <c:v>45646</c:v>
                </c:pt>
                <c:pt idx="605">
                  <c:v>45649</c:v>
                </c:pt>
                <c:pt idx="606">
                  <c:v>45650</c:v>
                </c:pt>
                <c:pt idx="607">
                  <c:v>45652</c:v>
                </c:pt>
                <c:pt idx="608">
                  <c:v>45653</c:v>
                </c:pt>
                <c:pt idx="609">
                  <c:v>45656</c:v>
                </c:pt>
                <c:pt idx="610">
                  <c:v>45657</c:v>
                </c:pt>
                <c:pt idx="611">
                  <c:v>45659</c:v>
                </c:pt>
                <c:pt idx="612">
                  <c:v>45660</c:v>
                </c:pt>
                <c:pt idx="613">
                  <c:v>45663</c:v>
                </c:pt>
                <c:pt idx="614">
                  <c:v>45664</c:v>
                </c:pt>
                <c:pt idx="615">
                  <c:v>45665</c:v>
                </c:pt>
                <c:pt idx="616">
                  <c:v>45667</c:v>
                </c:pt>
                <c:pt idx="617">
                  <c:v>45670</c:v>
                </c:pt>
                <c:pt idx="618">
                  <c:v>45671</c:v>
                </c:pt>
                <c:pt idx="619">
                  <c:v>45672</c:v>
                </c:pt>
                <c:pt idx="620">
                  <c:v>45673</c:v>
                </c:pt>
                <c:pt idx="621">
                  <c:v>45674</c:v>
                </c:pt>
                <c:pt idx="622">
                  <c:v>45678</c:v>
                </c:pt>
                <c:pt idx="623">
                  <c:v>45679</c:v>
                </c:pt>
                <c:pt idx="624">
                  <c:v>45680</c:v>
                </c:pt>
                <c:pt idx="625">
                  <c:v>45681</c:v>
                </c:pt>
                <c:pt idx="626">
                  <c:v>45684</c:v>
                </c:pt>
                <c:pt idx="627">
                  <c:v>45685</c:v>
                </c:pt>
                <c:pt idx="628">
                  <c:v>45686</c:v>
                </c:pt>
                <c:pt idx="629">
                  <c:v>45687</c:v>
                </c:pt>
                <c:pt idx="630">
                  <c:v>45688</c:v>
                </c:pt>
                <c:pt idx="631">
                  <c:v>45691</c:v>
                </c:pt>
                <c:pt idx="632">
                  <c:v>45692</c:v>
                </c:pt>
                <c:pt idx="633">
                  <c:v>45693</c:v>
                </c:pt>
                <c:pt idx="634">
                  <c:v>45694</c:v>
                </c:pt>
                <c:pt idx="635">
                  <c:v>45695</c:v>
                </c:pt>
                <c:pt idx="636">
                  <c:v>45698</c:v>
                </c:pt>
                <c:pt idx="637">
                  <c:v>45699</c:v>
                </c:pt>
                <c:pt idx="638">
                  <c:v>45700</c:v>
                </c:pt>
                <c:pt idx="639">
                  <c:v>45701</c:v>
                </c:pt>
                <c:pt idx="640">
                  <c:v>45702</c:v>
                </c:pt>
                <c:pt idx="641">
                  <c:v>45706</c:v>
                </c:pt>
                <c:pt idx="642">
                  <c:v>45707</c:v>
                </c:pt>
                <c:pt idx="643">
                  <c:v>45708</c:v>
                </c:pt>
                <c:pt idx="644">
                  <c:v>45709</c:v>
                </c:pt>
                <c:pt idx="645">
                  <c:v>45712</c:v>
                </c:pt>
                <c:pt idx="646">
                  <c:v>45713</c:v>
                </c:pt>
                <c:pt idx="647">
                  <c:v>45714</c:v>
                </c:pt>
                <c:pt idx="648">
                  <c:v>45715</c:v>
                </c:pt>
                <c:pt idx="649">
                  <c:v>45716</c:v>
                </c:pt>
                <c:pt idx="650">
                  <c:v>45719</c:v>
                </c:pt>
                <c:pt idx="651">
                  <c:v>45720</c:v>
                </c:pt>
                <c:pt idx="652">
                  <c:v>45721</c:v>
                </c:pt>
                <c:pt idx="653">
                  <c:v>45722</c:v>
                </c:pt>
                <c:pt idx="654">
                  <c:v>45723</c:v>
                </c:pt>
                <c:pt idx="655">
                  <c:v>45726</c:v>
                </c:pt>
                <c:pt idx="656">
                  <c:v>45727</c:v>
                </c:pt>
                <c:pt idx="657">
                  <c:v>45728</c:v>
                </c:pt>
                <c:pt idx="658">
                  <c:v>45729</c:v>
                </c:pt>
                <c:pt idx="659">
                  <c:v>45730</c:v>
                </c:pt>
                <c:pt idx="660">
                  <c:v>45733</c:v>
                </c:pt>
                <c:pt idx="661">
                  <c:v>45734</c:v>
                </c:pt>
                <c:pt idx="662">
                  <c:v>45735</c:v>
                </c:pt>
                <c:pt idx="663">
                  <c:v>45736</c:v>
                </c:pt>
                <c:pt idx="664">
                  <c:v>45737</c:v>
                </c:pt>
                <c:pt idx="665">
                  <c:v>45740</c:v>
                </c:pt>
                <c:pt idx="666">
                  <c:v>45741</c:v>
                </c:pt>
                <c:pt idx="667">
                  <c:v>45742</c:v>
                </c:pt>
                <c:pt idx="668">
                  <c:v>45743</c:v>
                </c:pt>
                <c:pt idx="669">
                  <c:v>45744</c:v>
                </c:pt>
                <c:pt idx="670">
                  <c:v>45747</c:v>
                </c:pt>
                <c:pt idx="671">
                  <c:v>45748</c:v>
                </c:pt>
                <c:pt idx="672">
                  <c:v>45749</c:v>
                </c:pt>
                <c:pt idx="673">
                  <c:v>45750</c:v>
                </c:pt>
                <c:pt idx="674">
                  <c:v>45751</c:v>
                </c:pt>
                <c:pt idx="675">
                  <c:v>45754</c:v>
                </c:pt>
                <c:pt idx="676">
                  <c:v>45755</c:v>
                </c:pt>
                <c:pt idx="677">
                  <c:v>45756</c:v>
                </c:pt>
                <c:pt idx="678">
                  <c:v>45757</c:v>
                </c:pt>
                <c:pt idx="679">
                  <c:v>45758</c:v>
                </c:pt>
                <c:pt idx="680">
                  <c:v>45761</c:v>
                </c:pt>
                <c:pt idx="681">
                  <c:v>45762</c:v>
                </c:pt>
                <c:pt idx="682">
                  <c:v>45763</c:v>
                </c:pt>
                <c:pt idx="683">
                  <c:v>45764</c:v>
                </c:pt>
                <c:pt idx="684">
                  <c:v>45768</c:v>
                </c:pt>
                <c:pt idx="685">
                  <c:v>45769</c:v>
                </c:pt>
                <c:pt idx="686">
                  <c:v>45770</c:v>
                </c:pt>
                <c:pt idx="687">
                  <c:v>45771</c:v>
                </c:pt>
                <c:pt idx="688">
                  <c:v>45772</c:v>
                </c:pt>
                <c:pt idx="689">
                  <c:v>45775</c:v>
                </c:pt>
                <c:pt idx="690">
                  <c:v>45776</c:v>
                </c:pt>
                <c:pt idx="691">
                  <c:v>45777</c:v>
                </c:pt>
                <c:pt idx="692">
                  <c:v>45778</c:v>
                </c:pt>
                <c:pt idx="693">
                  <c:v>45779</c:v>
                </c:pt>
                <c:pt idx="694">
                  <c:v>45782</c:v>
                </c:pt>
                <c:pt idx="695">
                  <c:v>45783</c:v>
                </c:pt>
                <c:pt idx="696">
                  <c:v>45784</c:v>
                </c:pt>
                <c:pt idx="697">
                  <c:v>45785</c:v>
                </c:pt>
                <c:pt idx="698">
                  <c:v>45786</c:v>
                </c:pt>
                <c:pt idx="699">
                  <c:v>45789</c:v>
                </c:pt>
                <c:pt idx="700">
                  <c:v>45790</c:v>
                </c:pt>
                <c:pt idx="701">
                  <c:v>45791</c:v>
                </c:pt>
                <c:pt idx="702">
                  <c:v>45792</c:v>
                </c:pt>
                <c:pt idx="703">
                  <c:v>45793</c:v>
                </c:pt>
                <c:pt idx="704">
                  <c:v>45796</c:v>
                </c:pt>
                <c:pt idx="705">
                  <c:v>45797</c:v>
                </c:pt>
                <c:pt idx="706">
                  <c:v>45798</c:v>
                </c:pt>
                <c:pt idx="707">
                  <c:v>45799</c:v>
                </c:pt>
                <c:pt idx="708">
                  <c:v>45800</c:v>
                </c:pt>
                <c:pt idx="709">
                  <c:v>45804</c:v>
                </c:pt>
                <c:pt idx="710">
                  <c:v>45805</c:v>
                </c:pt>
                <c:pt idx="711">
                  <c:v>45806</c:v>
                </c:pt>
                <c:pt idx="712">
                  <c:v>45807</c:v>
                </c:pt>
                <c:pt idx="713">
                  <c:v>45810</c:v>
                </c:pt>
                <c:pt idx="714">
                  <c:v>45811</c:v>
                </c:pt>
                <c:pt idx="715">
                  <c:v>45812</c:v>
                </c:pt>
                <c:pt idx="716">
                  <c:v>45813</c:v>
                </c:pt>
                <c:pt idx="717">
                  <c:v>45814</c:v>
                </c:pt>
                <c:pt idx="718">
                  <c:v>45817</c:v>
                </c:pt>
                <c:pt idx="719">
                  <c:v>45818</c:v>
                </c:pt>
                <c:pt idx="720">
                  <c:v>45819</c:v>
                </c:pt>
                <c:pt idx="721">
                  <c:v>45820</c:v>
                </c:pt>
                <c:pt idx="722">
                  <c:v>45821</c:v>
                </c:pt>
                <c:pt idx="723">
                  <c:v>45824</c:v>
                </c:pt>
                <c:pt idx="724">
                  <c:v>45825</c:v>
                </c:pt>
                <c:pt idx="725">
                  <c:v>45826</c:v>
                </c:pt>
                <c:pt idx="726">
                  <c:v>45828</c:v>
                </c:pt>
                <c:pt idx="727">
                  <c:v>45831</c:v>
                </c:pt>
                <c:pt idx="728">
                  <c:v>45832</c:v>
                </c:pt>
                <c:pt idx="729">
                  <c:v>45833</c:v>
                </c:pt>
                <c:pt idx="730">
                  <c:v>45834</c:v>
                </c:pt>
                <c:pt idx="731">
                  <c:v>45835</c:v>
                </c:pt>
                <c:pt idx="732">
                  <c:v>45838</c:v>
                </c:pt>
                <c:pt idx="733">
                  <c:v>45839</c:v>
                </c:pt>
                <c:pt idx="734">
                  <c:v>45840</c:v>
                </c:pt>
                <c:pt idx="735">
                  <c:v>45841</c:v>
                </c:pt>
                <c:pt idx="736">
                  <c:v>45845</c:v>
                </c:pt>
                <c:pt idx="737">
                  <c:v>45846</c:v>
                </c:pt>
                <c:pt idx="738">
                  <c:v>45847</c:v>
                </c:pt>
                <c:pt idx="739">
                  <c:v>45848</c:v>
                </c:pt>
                <c:pt idx="740">
                  <c:v>45849</c:v>
                </c:pt>
                <c:pt idx="741">
                  <c:v>45852</c:v>
                </c:pt>
                <c:pt idx="742">
                  <c:v>45853</c:v>
                </c:pt>
                <c:pt idx="743">
                  <c:v>45854</c:v>
                </c:pt>
                <c:pt idx="744">
                  <c:v>45855</c:v>
                </c:pt>
                <c:pt idx="745">
                  <c:v>45856</c:v>
                </c:pt>
                <c:pt idx="746">
                  <c:v>45859</c:v>
                </c:pt>
                <c:pt idx="747">
                  <c:v>45860</c:v>
                </c:pt>
                <c:pt idx="748">
                  <c:v>45861</c:v>
                </c:pt>
                <c:pt idx="749">
                  <c:v>45862</c:v>
                </c:pt>
                <c:pt idx="750">
                  <c:v>45863</c:v>
                </c:pt>
                <c:pt idx="751">
                  <c:v>45866</c:v>
                </c:pt>
                <c:pt idx="752">
                  <c:v>45867</c:v>
                </c:pt>
                <c:pt idx="753">
                  <c:v>45868</c:v>
                </c:pt>
                <c:pt idx="754">
                  <c:v>45869</c:v>
                </c:pt>
                <c:pt idx="755">
                  <c:v>45870</c:v>
                </c:pt>
                <c:pt idx="756">
                  <c:v>45873</c:v>
                </c:pt>
                <c:pt idx="757">
                  <c:v>45874</c:v>
                </c:pt>
                <c:pt idx="758">
                  <c:v>45875</c:v>
                </c:pt>
                <c:pt idx="759">
                  <c:v>45876</c:v>
                </c:pt>
                <c:pt idx="760">
                  <c:v>45877</c:v>
                </c:pt>
                <c:pt idx="761">
                  <c:v>45880</c:v>
                </c:pt>
                <c:pt idx="762">
                  <c:v>45881</c:v>
                </c:pt>
                <c:pt idx="763">
                  <c:v>45882</c:v>
                </c:pt>
                <c:pt idx="764">
                  <c:v>45883</c:v>
                </c:pt>
                <c:pt idx="765">
                  <c:v>45884</c:v>
                </c:pt>
                <c:pt idx="766">
                  <c:v>45887</c:v>
                </c:pt>
                <c:pt idx="767">
                  <c:v>45888</c:v>
                </c:pt>
                <c:pt idx="768">
                  <c:v>45889</c:v>
                </c:pt>
                <c:pt idx="769">
                  <c:v>45890</c:v>
                </c:pt>
                <c:pt idx="770">
                  <c:v>45891</c:v>
                </c:pt>
                <c:pt idx="771">
                  <c:v>45894</c:v>
                </c:pt>
                <c:pt idx="772">
                  <c:v>45895</c:v>
                </c:pt>
                <c:pt idx="773">
                  <c:v>45896</c:v>
                </c:pt>
                <c:pt idx="774">
                  <c:v>45897</c:v>
                </c:pt>
                <c:pt idx="775">
                  <c:v>45898</c:v>
                </c:pt>
                <c:pt idx="776">
                  <c:v>45902</c:v>
                </c:pt>
                <c:pt idx="777">
                  <c:v>45903</c:v>
                </c:pt>
                <c:pt idx="778">
                  <c:v>45904</c:v>
                </c:pt>
                <c:pt idx="779">
                  <c:v>45905</c:v>
                </c:pt>
                <c:pt idx="780">
                  <c:v>45908</c:v>
                </c:pt>
                <c:pt idx="781">
                  <c:v>45909</c:v>
                </c:pt>
                <c:pt idx="782">
                  <c:v>45910</c:v>
                </c:pt>
                <c:pt idx="783">
                  <c:v>45911</c:v>
                </c:pt>
                <c:pt idx="784">
                  <c:v>45912</c:v>
                </c:pt>
                <c:pt idx="785">
                  <c:v>45915</c:v>
                </c:pt>
                <c:pt idx="786">
                  <c:v>45916</c:v>
                </c:pt>
                <c:pt idx="787">
                  <c:v>45917</c:v>
                </c:pt>
                <c:pt idx="788">
                  <c:v>45918</c:v>
                </c:pt>
                <c:pt idx="789">
                  <c:v>45919</c:v>
                </c:pt>
                <c:pt idx="790">
                  <c:v>45922</c:v>
                </c:pt>
                <c:pt idx="791">
                  <c:v>45923</c:v>
                </c:pt>
                <c:pt idx="792">
                  <c:v>45924</c:v>
                </c:pt>
                <c:pt idx="793">
                  <c:v>45925</c:v>
                </c:pt>
                <c:pt idx="794">
                  <c:v>45926</c:v>
                </c:pt>
                <c:pt idx="795">
                  <c:v>45929</c:v>
                </c:pt>
                <c:pt idx="796">
                  <c:v>45930</c:v>
                </c:pt>
                <c:pt idx="797">
                  <c:v>45931</c:v>
                </c:pt>
                <c:pt idx="798">
                  <c:v>45932</c:v>
                </c:pt>
                <c:pt idx="799">
                  <c:v>45933</c:v>
                </c:pt>
                <c:pt idx="800">
                  <c:v>45936</c:v>
                </c:pt>
                <c:pt idx="801">
                  <c:v>45937</c:v>
                </c:pt>
                <c:pt idx="802">
                  <c:v>45938</c:v>
                </c:pt>
                <c:pt idx="803">
                  <c:v>45939</c:v>
                </c:pt>
                <c:pt idx="804">
                  <c:v>45940</c:v>
                </c:pt>
                <c:pt idx="805">
                  <c:v>45943</c:v>
                </c:pt>
                <c:pt idx="806">
                  <c:v>45944</c:v>
                </c:pt>
                <c:pt idx="807">
                  <c:v>45945</c:v>
                </c:pt>
                <c:pt idx="808">
                  <c:v>45946</c:v>
                </c:pt>
                <c:pt idx="809">
                  <c:v>45947</c:v>
                </c:pt>
                <c:pt idx="810">
                  <c:v>45950</c:v>
                </c:pt>
                <c:pt idx="811">
                  <c:v>45951</c:v>
                </c:pt>
                <c:pt idx="812">
                  <c:v>45952</c:v>
                </c:pt>
                <c:pt idx="813">
                  <c:v>45953</c:v>
                </c:pt>
                <c:pt idx="814">
                  <c:v>45954</c:v>
                </c:pt>
                <c:pt idx="815">
                  <c:v>45957</c:v>
                </c:pt>
                <c:pt idx="816">
                  <c:v>45958</c:v>
                </c:pt>
                <c:pt idx="817">
                  <c:v>45959</c:v>
                </c:pt>
                <c:pt idx="818">
                  <c:v>45960</c:v>
                </c:pt>
                <c:pt idx="819">
                  <c:v>45961</c:v>
                </c:pt>
                <c:pt idx="820">
                  <c:v>45964</c:v>
                </c:pt>
                <c:pt idx="821">
                  <c:v>45965</c:v>
                </c:pt>
                <c:pt idx="822">
                  <c:v>45966</c:v>
                </c:pt>
                <c:pt idx="823">
                  <c:v>45967</c:v>
                </c:pt>
                <c:pt idx="824">
                  <c:v>45968</c:v>
                </c:pt>
                <c:pt idx="825">
                  <c:v>45971</c:v>
                </c:pt>
                <c:pt idx="826">
                  <c:v>45972</c:v>
                </c:pt>
                <c:pt idx="827">
                  <c:v>45973</c:v>
                </c:pt>
                <c:pt idx="828">
                  <c:v>45974</c:v>
                </c:pt>
                <c:pt idx="829">
                  <c:v>45975</c:v>
                </c:pt>
                <c:pt idx="830">
                  <c:v>45978</c:v>
                </c:pt>
                <c:pt idx="831">
                  <c:v>45979</c:v>
                </c:pt>
                <c:pt idx="832">
                  <c:v>45980</c:v>
                </c:pt>
                <c:pt idx="833">
                  <c:v>45981</c:v>
                </c:pt>
                <c:pt idx="834">
                  <c:v>45982</c:v>
                </c:pt>
                <c:pt idx="835">
                  <c:v>45985</c:v>
                </c:pt>
                <c:pt idx="836">
                  <c:v>45986</c:v>
                </c:pt>
                <c:pt idx="837">
                  <c:v>45987</c:v>
                </c:pt>
                <c:pt idx="838">
                  <c:v>45989</c:v>
                </c:pt>
                <c:pt idx="839">
                  <c:v>45992</c:v>
                </c:pt>
                <c:pt idx="840">
                  <c:v>45993</c:v>
                </c:pt>
                <c:pt idx="841">
                  <c:v>45994</c:v>
                </c:pt>
                <c:pt idx="842">
                  <c:v>45995</c:v>
                </c:pt>
                <c:pt idx="843">
                  <c:v>45996</c:v>
                </c:pt>
                <c:pt idx="844">
                  <c:v>45999</c:v>
                </c:pt>
                <c:pt idx="845">
                  <c:v>46000</c:v>
                </c:pt>
                <c:pt idx="846">
                  <c:v>46001</c:v>
                </c:pt>
                <c:pt idx="847">
                  <c:v>46002</c:v>
                </c:pt>
                <c:pt idx="848">
                  <c:v>46003</c:v>
                </c:pt>
                <c:pt idx="849">
                  <c:v>46006</c:v>
                </c:pt>
                <c:pt idx="850">
                  <c:v>46007</c:v>
                </c:pt>
                <c:pt idx="851">
                  <c:v>46008</c:v>
                </c:pt>
                <c:pt idx="852">
                  <c:v>46009</c:v>
                </c:pt>
                <c:pt idx="853">
                  <c:v>46010</c:v>
                </c:pt>
                <c:pt idx="854">
                  <c:v>46013</c:v>
                </c:pt>
                <c:pt idx="855">
                  <c:v>46014</c:v>
                </c:pt>
                <c:pt idx="856">
                  <c:v>46015</c:v>
                </c:pt>
                <c:pt idx="857">
                  <c:v>46017</c:v>
                </c:pt>
                <c:pt idx="858">
                  <c:v>46020</c:v>
                </c:pt>
                <c:pt idx="859">
                  <c:v>46021</c:v>
                </c:pt>
                <c:pt idx="860">
                  <c:v>46022</c:v>
                </c:pt>
                <c:pt idx="861">
                  <c:v>46024</c:v>
                </c:pt>
                <c:pt idx="862">
                  <c:v>46027</c:v>
                </c:pt>
                <c:pt idx="863">
                  <c:v>46028</c:v>
                </c:pt>
                <c:pt idx="864">
                  <c:v>46029</c:v>
                </c:pt>
                <c:pt idx="865">
                  <c:v>46030</c:v>
                </c:pt>
                <c:pt idx="866">
                  <c:v>46031</c:v>
                </c:pt>
                <c:pt idx="867">
                  <c:v>46034</c:v>
                </c:pt>
                <c:pt idx="868">
                  <c:v>46035</c:v>
                </c:pt>
                <c:pt idx="869">
                  <c:v>46036</c:v>
                </c:pt>
                <c:pt idx="870">
                  <c:v>46037</c:v>
                </c:pt>
                <c:pt idx="871">
                  <c:v>46038</c:v>
                </c:pt>
                <c:pt idx="872">
                  <c:v>46042</c:v>
                </c:pt>
                <c:pt idx="873">
                  <c:v>46043</c:v>
                </c:pt>
                <c:pt idx="874">
                  <c:v>46044</c:v>
                </c:pt>
                <c:pt idx="875">
                  <c:v>46045</c:v>
                </c:pt>
                <c:pt idx="876">
                  <c:v>46048</c:v>
                </c:pt>
                <c:pt idx="877">
                  <c:v>46049</c:v>
                </c:pt>
                <c:pt idx="878">
                  <c:v>46050</c:v>
                </c:pt>
                <c:pt idx="879">
                  <c:v>46051</c:v>
                </c:pt>
                <c:pt idx="880">
                  <c:v>46052</c:v>
                </c:pt>
                <c:pt idx="881">
                  <c:v>46055</c:v>
                </c:pt>
                <c:pt idx="882">
                  <c:v>46056</c:v>
                </c:pt>
                <c:pt idx="883">
                  <c:v>46057</c:v>
                </c:pt>
                <c:pt idx="884">
                  <c:v>46058</c:v>
                </c:pt>
                <c:pt idx="885">
                  <c:v>46059</c:v>
                </c:pt>
                <c:pt idx="886">
                  <c:v>46062</c:v>
                </c:pt>
                <c:pt idx="887">
                  <c:v>46063</c:v>
                </c:pt>
                <c:pt idx="888">
                  <c:v>46064</c:v>
                </c:pt>
                <c:pt idx="889">
                  <c:v>46065</c:v>
                </c:pt>
                <c:pt idx="890">
                  <c:v>46066</c:v>
                </c:pt>
                <c:pt idx="891">
                  <c:v>46070</c:v>
                </c:pt>
                <c:pt idx="892">
                  <c:v>46071</c:v>
                </c:pt>
                <c:pt idx="893">
                  <c:v>46072</c:v>
                </c:pt>
                <c:pt idx="894">
                  <c:v>46073</c:v>
                </c:pt>
                <c:pt idx="895">
                  <c:v>46076</c:v>
                </c:pt>
                <c:pt idx="896">
                  <c:v>46077</c:v>
                </c:pt>
                <c:pt idx="897">
                  <c:v>46078</c:v>
                </c:pt>
                <c:pt idx="898">
                  <c:v>46079</c:v>
                </c:pt>
                <c:pt idx="899">
                  <c:v>46080</c:v>
                </c:pt>
                <c:pt idx="900">
                  <c:v>46083</c:v>
                </c:pt>
                <c:pt idx="901">
                  <c:v>46084</c:v>
                </c:pt>
                <c:pt idx="902">
                  <c:v>46085</c:v>
                </c:pt>
                <c:pt idx="903">
                  <c:v>46086</c:v>
                </c:pt>
                <c:pt idx="904">
                  <c:v>46087</c:v>
                </c:pt>
                <c:pt idx="905">
                  <c:v>46090</c:v>
                </c:pt>
                <c:pt idx="906">
                  <c:v>46091</c:v>
                </c:pt>
                <c:pt idx="907">
                  <c:v>46092</c:v>
                </c:pt>
                <c:pt idx="908">
                  <c:v>46093</c:v>
                </c:pt>
                <c:pt idx="909">
                  <c:v>46094</c:v>
                </c:pt>
                <c:pt idx="910">
                  <c:v>46097</c:v>
                </c:pt>
                <c:pt idx="911">
                  <c:v>46098</c:v>
                </c:pt>
                <c:pt idx="912">
                  <c:v>46099</c:v>
                </c:pt>
                <c:pt idx="913">
                  <c:v>46100</c:v>
                </c:pt>
                <c:pt idx="914">
                  <c:v>46101</c:v>
                </c:pt>
                <c:pt idx="915">
                  <c:v>46104</c:v>
                </c:pt>
                <c:pt idx="916">
                  <c:v>46105</c:v>
                </c:pt>
                <c:pt idx="917">
                  <c:v>46106</c:v>
                </c:pt>
                <c:pt idx="918">
                  <c:v>46107</c:v>
                </c:pt>
                <c:pt idx="919">
                  <c:v>46108</c:v>
                </c:pt>
                <c:pt idx="920">
                  <c:v>46111</c:v>
                </c:pt>
                <c:pt idx="921">
                  <c:v>46112</c:v>
                </c:pt>
                <c:pt idx="922">
                  <c:v>46113</c:v>
                </c:pt>
                <c:pt idx="923">
                  <c:v>46114</c:v>
                </c:pt>
                <c:pt idx="924">
                  <c:v>46118</c:v>
                </c:pt>
                <c:pt idx="925">
                  <c:v>46119</c:v>
                </c:pt>
                <c:pt idx="926">
                  <c:v>46120</c:v>
                </c:pt>
                <c:pt idx="927">
                  <c:v>46121</c:v>
                </c:pt>
                <c:pt idx="928">
                  <c:v>46122</c:v>
                </c:pt>
                <c:pt idx="929">
                  <c:v>46125</c:v>
                </c:pt>
                <c:pt idx="930">
                  <c:v>46126</c:v>
                </c:pt>
                <c:pt idx="931">
                  <c:v>46127</c:v>
                </c:pt>
                <c:pt idx="932">
                  <c:v>46128</c:v>
                </c:pt>
                <c:pt idx="933">
                  <c:v>46129</c:v>
                </c:pt>
                <c:pt idx="934">
                  <c:v>46132</c:v>
                </c:pt>
                <c:pt idx="935">
                  <c:v>46133</c:v>
                </c:pt>
                <c:pt idx="936">
                  <c:v>46134</c:v>
                </c:pt>
                <c:pt idx="937">
                  <c:v>46135</c:v>
                </c:pt>
                <c:pt idx="938">
                  <c:v>46136</c:v>
                </c:pt>
                <c:pt idx="939">
                  <c:v>46139</c:v>
                </c:pt>
                <c:pt idx="940">
                  <c:v>46140</c:v>
                </c:pt>
                <c:pt idx="941">
                  <c:v>46141</c:v>
                </c:pt>
                <c:pt idx="942">
                  <c:v>46142</c:v>
                </c:pt>
                <c:pt idx="943">
                  <c:v>46143</c:v>
                </c:pt>
                <c:pt idx="944">
                  <c:v>46146</c:v>
                </c:pt>
                <c:pt idx="945">
                  <c:v>46147</c:v>
                </c:pt>
                <c:pt idx="946">
                  <c:v>46148</c:v>
                </c:pt>
                <c:pt idx="947">
                  <c:v>46149</c:v>
                </c:pt>
                <c:pt idx="948">
                  <c:v>46150</c:v>
                </c:pt>
                <c:pt idx="949">
                  <c:v>46153</c:v>
                </c:pt>
                <c:pt idx="950">
                  <c:v>46154</c:v>
                </c:pt>
                <c:pt idx="951">
                  <c:v>46155</c:v>
                </c:pt>
                <c:pt idx="952">
                  <c:v>46156</c:v>
                </c:pt>
                <c:pt idx="953">
                  <c:v>46157</c:v>
                </c:pt>
                <c:pt idx="954">
                  <c:v>46160</c:v>
                </c:pt>
                <c:pt idx="955">
                  <c:v>46161</c:v>
                </c:pt>
                <c:pt idx="956">
                  <c:v>46162</c:v>
                </c:pt>
                <c:pt idx="957">
                  <c:v>46163</c:v>
                </c:pt>
                <c:pt idx="958">
                  <c:v>46164</c:v>
                </c:pt>
                <c:pt idx="959">
                  <c:v>46168</c:v>
                </c:pt>
                <c:pt idx="960">
                  <c:v>46169</c:v>
                </c:pt>
                <c:pt idx="961">
                  <c:v>46170</c:v>
                </c:pt>
                <c:pt idx="962">
                  <c:v>46171</c:v>
                </c:pt>
                <c:pt idx="963">
                  <c:v>46174</c:v>
                </c:pt>
                <c:pt idx="964">
                  <c:v>46175</c:v>
                </c:pt>
                <c:pt idx="965">
                  <c:v>46176</c:v>
                </c:pt>
                <c:pt idx="966">
                  <c:v>46177</c:v>
                </c:pt>
                <c:pt idx="967">
                  <c:v>46178</c:v>
                </c:pt>
                <c:pt idx="968">
                  <c:v>46181</c:v>
                </c:pt>
                <c:pt idx="969">
                  <c:v>46182</c:v>
                </c:pt>
                <c:pt idx="970">
                  <c:v>46183</c:v>
                </c:pt>
                <c:pt idx="971">
                  <c:v>46184</c:v>
                </c:pt>
                <c:pt idx="972">
                  <c:v>46185</c:v>
                </c:pt>
                <c:pt idx="973">
                  <c:v>46188</c:v>
                </c:pt>
                <c:pt idx="974">
                  <c:v>46189</c:v>
                </c:pt>
                <c:pt idx="975">
                  <c:v>46190</c:v>
                </c:pt>
                <c:pt idx="976">
                  <c:v>46191</c:v>
                </c:pt>
                <c:pt idx="977">
                  <c:v>46195</c:v>
                </c:pt>
                <c:pt idx="978">
                  <c:v>46196</c:v>
                </c:pt>
                <c:pt idx="979">
                  <c:v>46197</c:v>
                </c:pt>
                <c:pt idx="980">
                  <c:v>46198</c:v>
                </c:pt>
                <c:pt idx="981">
                  <c:v>46199</c:v>
                </c:pt>
                <c:pt idx="982">
                  <c:v>46202</c:v>
                </c:pt>
                <c:pt idx="983">
                  <c:v>46203</c:v>
                </c:pt>
                <c:pt idx="984">
                  <c:v>46204</c:v>
                </c:pt>
                <c:pt idx="985">
                  <c:v>46205</c:v>
                </c:pt>
                <c:pt idx="986">
                  <c:v>46209</c:v>
                </c:pt>
                <c:pt idx="987">
                  <c:v>46210</c:v>
                </c:pt>
                <c:pt idx="988">
                  <c:v>46211</c:v>
                </c:pt>
                <c:pt idx="989">
                  <c:v>46212</c:v>
                </c:pt>
                <c:pt idx="990">
                  <c:v>46213</c:v>
                </c:pt>
                <c:pt idx="991">
                  <c:v>46216</c:v>
                </c:pt>
                <c:pt idx="992">
                  <c:v>46217</c:v>
                </c:pt>
                <c:pt idx="993">
                  <c:v>46218</c:v>
                </c:pt>
                <c:pt idx="994">
                  <c:v>46219</c:v>
                </c:pt>
                <c:pt idx="995">
                  <c:v>46220</c:v>
                </c:pt>
                <c:pt idx="996">
                  <c:v>46223</c:v>
                </c:pt>
                <c:pt idx="997">
                  <c:v>46224</c:v>
                </c:pt>
                <c:pt idx="998">
                  <c:v>46225</c:v>
                </c:pt>
                <c:pt idx="999">
                  <c:v>46226</c:v>
                </c:pt>
                <c:pt idx="1000">
                  <c:v>46227</c:v>
                </c:pt>
                <c:pt idx="1001">
                  <c:v>46230</c:v>
                </c:pt>
                <c:pt idx="1002">
                  <c:v>46231</c:v>
                </c:pt>
                <c:pt idx="1003">
                  <c:v>46232</c:v>
                </c:pt>
                <c:pt idx="1004">
                  <c:v>46233</c:v>
                </c:pt>
              </c:numCache>
            </c:numRef>
          </c:cat>
          <c:val>
            <c:numRef>
              <c:f>Chart!$D$2:$D$1006</c:f>
              <c:numCache>
                <c:formatCode>General</c:formatCode>
                <c:ptCount val="1005"/>
                <c:pt idx="0">
                  <c:v>-4.4221860152029002E-2</c:v>
                </c:pt>
                <c:pt idx="1">
                  <c:v>-4.446910624249454E-2</c:v>
                </c:pt>
                <c:pt idx="2">
                  <c:v>-4.4444094091007795E-2</c:v>
                </c:pt>
                <c:pt idx="3">
                  <c:v>-4.4464772936221995E-2</c:v>
                </c:pt>
                <c:pt idx="4">
                  <c:v>-4.4800048559038477E-2</c:v>
                </c:pt>
                <c:pt idx="5">
                  <c:v>-4.4794632666724461E-2</c:v>
                </c:pt>
                <c:pt idx="6">
                  <c:v>-4.4795339627214166E-2</c:v>
                </c:pt>
                <c:pt idx="7">
                  <c:v>-4.4794685380227781E-2</c:v>
                </c:pt>
                <c:pt idx="8">
                  <c:v>-4.4794352266738328E-2</c:v>
                </c:pt>
                <c:pt idx="9">
                  <c:v>-4.4853001423834485E-2</c:v>
                </c:pt>
                <c:pt idx="10">
                  <c:v>-4.4858772495115225E-2</c:v>
                </c:pt>
                <c:pt idx="11">
                  <c:v>-4.4921348097098739E-2</c:v>
                </c:pt>
                <c:pt idx="12">
                  <c:v>-4.4918300261072602E-2</c:v>
                </c:pt>
                <c:pt idx="13">
                  <c:v>-4.4749219993645145E-2</c:v>
                </c:pt>
                <c:pt idx="14">
                  <c:v>-4.4764304746104391E-2</c:v>
                </c:pt>
                <c:pt idx="15">
                  <c:v>-4.4745310113233246E-2</c:v>
                </c:pt>
                <c:pt idx="16">
                  <c:v>-4.4783698884937016E-2</c:v>
                </c:pt>
                <c:pt idx="17">
                  <c:v>-4.49209911815934E-2</c:v>
                </c:pt>
                <c:pt idx="18">
                  <c:v>-4.4902950934592886E-2</c:v>
                </c:pt>
                <c:pt idx="19">
                  <c:v>-4.489440011788616E-2</c:v>
                </c:pt>
                <c:pt idx="20">
                  <c:v>-4.4932988585691322E-2</c:v>
                </c:pt>
                <c:pt idx="21">
                  <c:v>-4.5085257197822901E-2</c:v>
                </c:pt>
                <c:pt idx="22">
                  <c:v>-4.5114352869289276E-2</c:v>
                </c:pt>
                <c:pt idx="23">
                  <c:v>-4.5168949392447678E-2</c:v>
                </c:pt>
                <c:pt idx="24">
                  <c:v>-4.5184503068013318E-2</c:v>
                </c:pt>
                <c:pt idx="25">
                  <c:v>-4.5185599570517286E-2</c:v>
                </c:pt>
                <c:pt idx="26">
                  <c:v>-4.5174699781877554E-2</c:v>
                </c:pt>
                <c:pt idx="27">
                  <c:v>-4.5166184134929628E-2</c:v>
                </c:pt>
                <c:pt idx="28">
                  <c:v>-4.5175550611549722E-2</c:v>
                </c:pt>
                <c:pt idx="29">
                  <c:v>-4.4923290358885419E-2</c:v>
                </c:pt>
                <c:pt idx="30">
                  <c:v>-4.5002398640272216E-2</c:v>
                </c:pt>
                <c:pt idx="31">
                  <c:v>-4.5316296145546858E-2</c:v>
                </c:pt>
                <c:pt idx="32">
                  <c:v>-4.6185081933823847E-2</c:v>
                </c:pt>
                <c:pt idx="33">
                  <c:v>-4.620483349314157E-2</c:v>
                </c:pt>
                <c:pt idx="34">
                  <c:v>-4.6210542796620825E-2</c:v>
                </c:pt>
                <c:pt idx="35">
                  <c:v>-4.6128119319109574E-2</c:v>
                </c:pt>
                <c:pt idx="36">
                  <c:v>-4.6266965495668402E-2</c:v>
                </c:pt>
                <c:pt idx="37">
                  <c:v>-4.6258141967821589E-2</c:v>
                </c:pt>
                <c:pt idx="38">
                  <c:v>-4.6349136203124697E-2</c:v>
                </c:pt>
                <c:pt idx="39">
                  <c:v>-4.6359246664647427E-2</c:v>
                </c:pt>
                <c:pt idx="40">
                  <c:v>-4.6387692391651345E-2</c:v>
                </c:pt>
                <c:pt idx="41">
                  <c:v>-4.6248871126007861E-2</c:v>
                </c:pt>
                <c:pt idx="42">
                  <c:v>-4.6249013009804753E-2</c:v>
                </c:pt>
                <c:pt idx="43">
                  <c:v>-4.6266809178665123E-2</c:v>
                </c:pt>
                <c:pt idx="44">
                  <c:v>-4.6846848194445408E-2</c:v>
                </c:pt>
                <c:pt idx="45">
                  <c:v>-4.6918999887475957E-2</c:v>
                </c:pt>
                <c:pt idx="46">
                  <c:v>-4.708587023730277E-2</c:v>
                </c:pt>
                <c:pt idx="47">
                  <c:v>-4.7223389159559592E-2</c:v>
                </c:pt>
                <c:pt idx="48">
                  <c:v>-4.7205686975640419E-2</c:v>
                </c:pt>
                <c:pt idx="49">
                  <c:v>-4.7214236417355497E-2</c:v>
                </c:pt>
                <c:pt idx="50">
                  <c:v>-4.7535607021829088E-2</c:v>
                </c:pt>
                <c:pt idx="51">
                  <c:v>-4.7517822829172121E-2</c:v>
                </c:pt>
                <c:pt idx="52">
                  <c:v>-4.7537931124638284E-2</c:v>
                </c:pt>
                <c:pt idx="53">
                  <c:v>-4.7449425324926429E-2</c:v>
                </c:pt>
                <c:pt idx="54">
                  <c:v>-4.7687073709997162E-2</c:v>
                </c:pt>
                <c:pt idx="55">
                  <c:v>-4.7897772543015846E-2</c:v>
                </c:pt>
                <c:pt idx="56">
                  <c:v>-4.8035347489756339E-2</c:v>
                </c:pt>
                <c:pt idx="57">
                  <c:v>-4.8052974162064256E-2</c:v>
                </c:pt>
                <c:pt idx="58">
                  <c:v>-4.8052579777013563E-2</c:v>
                </c:pt>
                <c:pt idx="59">
                  <c:v>-4.8048735278111404E-2</c:v>
                </c:pt>
                <c:pt idx="60">
                  <c:v>-4.8210382089841616E-2</c:v>
                </c:pt>
                <c:pt idx="61">
                  <c:v>-4.8254349249687085E-2</c:v>
                </c:pt>
                <c:pt idx="62">
                  <c:v>-4.833382534758475E-2</c:v>
                </c:pt>
                <c:pt idx="63">
                  <c:v>-4.8284559525848814E-2</c:v>
                </c:pt>
                <c:pt idx="64">
                  <c:v>-4.8423084980295412E-2</c:v>
                </c:pt>
                <c:pt idx="65">
                  <c:v>-4.9590738794844547E-2</c:v>
                </c:pt>
                <c:pt idx="66">
                  <c:v>-4.9634085928013508E-2</c:v>
                </c:pt>
                <c:pt idx="67">
                  <c:v>-4.9682234714195229E-2</c:v>
                </c:pt>
                <c:pt idx="68">
                  <c:v>-4.9993735996545455E-2</c:v>
                </c:pt>
                <c:pt idx="69">
                  <c:v>-5.039272765402375E-2</c:v>
                </c:pt>
                <c:pt idx="70">
                  <c:v>-5.0387292197252687E-2</c:v>
                </c:pt>
                <c:pt idx="71">
                  <c:v>-5.0389426284917077E-2</c:v>
                </c:pt>
                <c:pt idx="72">
                  <c:v>-5.0314580951347304E-2</c:v>
                </c:pt>
                <c:pt idx="73">
                  <c:v>-5.0556046081317141E-2</c:v>
                </c:pt>
                <c:pt idx="74">
                  <c:v>-5.205833693848258E-2</c:v>
                </c:pt>
                <c:pt idx="75">
                  <c:v>-5.2134428049606801E-2</c:v>
                </c:pt>
                <c:pt idx="76">
                  <c:v>-5.2143961672267695E-2</c:v>
                </c:pt>
                <c:pt idx="77">
                  <c:v>-5.2117313061728891E-2</c:v>
                </c:pt>
                <c:pt idx="78">
                  <c:v>-5.1964352871603427E-2</c:v>
                </c:pt>
                <c:pt idx="79">
                  <c:v>-5.1939588780648312E-2</c:v>
                </c:pt>
                <c:pt idx="80">
                  <c:v>-5.1940876756462862E-2</c:v>
                </c:pt>
                <c:pt idx="81">
                  <c:v>-5.2037451253697777E-2</c:v>
                </c:pt>
                <c:pt idx="82">
                  <c:v>-5.2080917683149271E-2</c:v>
                </c:pt>
                <c:pt idx="83">
                  <c:v>-5.1875036291270403E-2</c:v>
                </c:pt>
                <c:pt idx="84">
                  <c:v>-5.185476542762283E-2</c:v>
                </c:pt>
                <c:pt idx="85">
                  <c:v>-5.1791505333951771E-2</c:v>
                </c:pt>
                <c:pt idx="86">
                  <c:v>-5.1880879620672893E-2</c:v>
                </c:pt>
                <c:pt idx="87">
                  <c:v>-5.2353385626976709E-2</c:v>
                </c:pt>
                <c:pt idx="88">
                  <c:v>-5.2327131362811322E-2</c:v>
                </c:pt>
                <c:pt idx="89">
                  <c:v>-5.2231125574146844E-2</c:v>
                </c:pt>
                <c:pt idx="90">
                  <c:v>-5.198266207227567E-2</c:v>
                </c:pt>
                <c:pt idx="91">
                  <c:v>-5.2000591599297555E-2</c:v>
                </c:pt>
                <c:pt idx="92">
                  <c:v>-5.2035377264726998E-2</c:v>
                </c:pt>
                <c:pt idx="93">
                  <c:v>-5.1900382467941104E-2</c:v>
                </c:pt>
                <c:pt idx="94">
                  <c:v>-5.1817714621194069E-2</c:v>
                </c:pt>
                <c:pt idx="95">
                  <c:v>-5.1867422284785497E-2</c:v>
                </c:pt>
                <c:pt idx="96">
                  <c:v>-5.170403768895563E-2</c:v>
                </c:pt>
                <c:pt idx="97">
                  <c:v>-5.1425800792213816E-2</c:v>
                </c:pt>
                <c:pt idx="98">
                  <c:v>-5.188744808908486E-2</c:v>
                </c:pt>
                <c:pt idx="99">
                  <c:v>-5.1916053621008068E-2</c:v>
                </c:pt>
                <c:pt idx="100">
                  <c:v>-5.188021528046434E-2</c:v>
                </c:pt>
                <c:pt idx="101">
                  <c:v>-5.1824968001916251E-2</c:v>
                </c:pt>
                <c:pt idx="102">
                  <c:v>-5.1947196912285991E-2</c:v>
                </c:pt>
                <c:pt idx="103">
                  <c:v>-5.1938394649539942E-2</c:v>
                </c:pt>
                <c:pt idx="104">
                  <c:v>-5.1934486193257662E-2</c:v>
                </c:pt>
                <c:pt idx="105">
                  <c:v>-5.1967806223077603E-2</c:v>
                </c:pt>
                <c:pt idx="106">
                  <c:v>-5.2147991510885554E-2</c:v>
                </c:pt>
                <c:pt idx="107">
                  <c:v>-5.2324613010616916E-2</c:v>
                </c:pt>
                <c:pt idx="108">
                  <c:v>-5.2187123101475129E-2</c:v>
                </c:pt>
                <c:pt idx="109">
                  <c:v>-5.2440746166153865E-2</c:v>
                </c:pt>
                <c:pt idx="110">
                  <c:v>-5.2332469844786719E-2</c:v>
                </c:pt>
                <c:pt idx="111">
                  <c:v>-5.2300450981979982E-2</c:v>
                </c:pt>
                <c:pt idx="112">
                  <c:v>-5.258784181650597E-2</c:v>
                </c:pt>
                <c:pt idx="113">
                  <c:v>-5.2593094148147231E-2</c:v>
                </c:pt>
                <c:pt idx="114">
                  <c:v>-5.2534401947023759E-2</c:v>
                </c:pt>
                <c:pt idx="115">
                  <c:v>-5.2631617634150134E-2</c:v>
                </c:pt>
                <c:pt idx="116">
                  <c:v>-5.2563542055189767E-2</c:v>
                </c:pt>
                <c:pt idx="117">
                  <c:v>-5.2581023311140167E-2</c:v>
                </c:pt>
                <c:pt idx="118">
                  <c:v>-5.2531576706832873E-2</c:v>
                </c:pt>
                <c:pt idx="119">
                  <c:v>-5.2450059092207943E-2</c:v>
                </c:pt>
                <c:pt idx="120">
                  <c:v>-5.2431072557564511E-2</c:v>
                </c:pt>
                <c:pt idx="121">
                  <c:v>-5.2480969583624026E-2</c:v>
                </c:pt>
                <c:pt idx="122">
                  <c:v>-5.2594114306106964E-2</c:v>
                </c:pt>
                <c:pt idx="123">
                  <c:v>-5.2592427180882632E-2</c:v>
                </c:pt>
                <c:pt idx="124">
                  <c:v>-5.2596185401252542E-2</c:v>
                </c:pt>
                <c:pt idx="125">
                  <c:v>-5.2642065196453813E-2</c:v>
                </c:pt>
                <c:pt idx="126">
                  <c:v>-5.1724250686244151E-2</c:v>
                </c:pt>
                <c:pt idx="127">
                  <c:v>-5.1657418628285712E-2</c:v>
                </c:pt>
                <c:pt idx="128">
                  <c:v>-5.1677344175520439E-2</c:v>
                </c:pt>
                <c:pt idx="129">
                  <c:v>-5.1680135159510608E-2</c:v>
                </c:pt>
                <c:pt idx="130">
                  <c:v>-5.1912668599251005E-2</c:v>
                </c:pt>
                <c:pt idx="131">
                  <c:v>-5.203866979908546E-2</c:v>
                </c:pt>
                <c:pt idx="132">
                  <c:v>-5.2100571773068823E-2</c:v>
                </c:pt>
                <c:pt idx="133">
                  <c:v>-5.2106856504213914E-2</c:v>
                </c:pt>
                <c:pt idx="134">
                  <c:v>-5.2153083385742753E-2</c:v>
                </c:pt>
                <c:pt idx="135">
                  <c:v>-5.2048266186152742E-2</c:v>
                </c:pt>
                <c:pt idx="136">
                  <c:v>-5.1966417631519289E-2</c:v>
                </c:pt>
                <c:pt idx="137">
                  <c:v>-5.2041265750115362E-2</c:v>
                </c:pt>
                <c:pt idx="138">
                  <c:v>-5.1930417733511383E-2</c:v>
                </c:pt>
                <c:pt idx="139">
                  <c:v>-5.1972656580369238E-2</c:v>
                </c:pt>
                <c:pt idx="140">
                  <c:v>-5.1900375776093272E-2</c:v>
                </c:pt>
                <c:pt idx="141">
                  <c:v>-5.1894145795571646E-2</c:v>
                </c:pt>
                <c:pt idx="142">
                  <c:v>-5.1978416109863153E-2</c:v>
                </c:pt>
                <c:pt idx="143">
                  <c:v>-5.1840711499321866E-2</c:v>
                </c:pt>
                <c:pt idx="144">
                  <c:v>-5.1784216944702643E-2</c:v>
                </c:pt>
                <c:pt idx="145">
                  <c:v>-5.1813587612186254E-2</c:v>
                </c:pt>
                <c:pt idx="146">
                  <c:v>-5.1828392269969811E-2</c:v>
                </c:pt>
                <c:pt idx="147">
                  <c:v>-5.180348324376606E-2</c:v>
                </c:pt>
                <c:pt idx="148">
                  <c:v>-5.1752666618388489E-2</c:v>
                </c:pt>
                <c:pt idx="149">
                  <c:v>-5.1756694398724927E-2</c:v>
                </c:pt>
                <c:pt idx="150">
                  <c:v>-5.1942427668945551E-2</c:v>
                </c:pt>
                <c:pt idx="151">
                  <c:v>-5.1896378066896377E-2</c:v>
                </c:pt>
                <c:pt idx="152">
                  <c:v>-5.1911918977690839E-2</c:v>
                </c:pt>
                <c:pt idx="153">
                  <c:v>-5.1676508660459884E-2</c:v>
                </c:pt>
                <c:pt idx="154">
                  <c:v>-5.1565403431523209E-2</c:v>
                </c:pt>
                <c:pt idx="155">
                  <c:v>-5.1483602833079969E-2</c:v>
                </c:pt>
                <c:pt idx="156">
                  <c:v>-5.1368274971943559E-2</c:v>
                </c:pt>
                <c:pt idx="157">
                  <c:v>-5.1228751635658855E-2</c:v>
                </c:pt>
                <c:pt idx="158">
                  <c:v>-5.1054876336959744E-2</c:v>
                </c:pt>
                <c:pt idx="159">
                  <c:v>-5.1119731315002422E-2</c:v>
                </c:pt>
                <c:pt idx="160">
                  <c:v>-5.1032968209771552E-2</c:v>
                </c:pt>
                <c:pt idx="161">
                  <c:v>-5.1068347522517446E-2</c:v>
                </c:pt>
                <c:pt idx="162">
                  <c:v>-5.1007755023174881E-2</c:v>
                </c:pt>
                <c:pt idx="163">
                  <c:v>-5.1009400492162946E-2</c:v>
                </c:pt>
                <c:pt idx="164">
                  <c:v>-5.0910632714478404E-2</c:v>
                </c:pt>
                <c:pt idx="165">
                  <c:v>-5.0922942344338126E-2</c:v>
                </c:pt>
                <c:pt idx="166">
                  <c:v>-5.094753636803679E-2</c:v>
                </c:pt>
                <c:pt idx="167">
                  <c:v>-5.0869873248855946E-2</c:v>
                </c:pt>
                <c:pt idx="168">
                  <c:v>-5.0947157335487291E-2</c:v>
                </c:pt>
                <c:pt idx="169">
                  <c:v>-5.0902776890312869E-2</c:v>
                </c:pt>
                <c:pt idx="170">
                  <c:v>-5.0955325085517596E-2</c:v>
                </c:pt>
                <c:pt idx="171">
                  <c:v>-5.0848996124628044E-2</c:v>
                </c:pt>
                <c:pt idx="172">
                  <c:v>-5.0774535996766679E-2</c:v>
                </c:pt>
                <c:pt idx="173">
                  <c:v>-5.072867043744362E-2</c:v>
                </c:pt>
                <c:pt idx="174">
                  <c:v>-5.0734694255846653E-2</c:v>
                </c:pt>
                <c:pt idx="175">
                  <c:v>-5.0759109349327501E-2</c:v>
                </c:pt>
                <c:pt idx="176">
                  <c:v>-5.0629529568759407E-2</c:v>
                </c:pt>
                <c:pt idx="177">
                  <c:v>-5.0604702039968433E-2</c:v>
                </c:pt>
                <c:pt idx="178">
                  <c:v>-5.0790225846638601E-2</c:v>
                </c:pt>
                <c:pt idx="179">
                  <c:v>-5.0592999458659416E-2</c:v>
                </c:pt>
                <c:pt idx="180">
                  <c:v>-5.0592604126217341E-2</c:v>
                </c:pt>
                <c:pt idx="181">
                  <c:v>-5.0562565105294124E-2</c:v>
                </c:pt>
                <c:pt idx="182">
                  <c:v>-5.0572609549779005E-2</c:v>
                </c:pt>
                <c:pt idx="183">
                  <c:v>-5.0575052383377908E-2</c:v>
                </c:pt>
                <c:pt idx="184">
                  <c:v>-5.0423428461863783E-2</c:v>
                </c:pt>
                <c:pt idx="185">
                  <c:v>-5.041461730139242E-2</c:v>
                </c:pt>
                <c:pt idx="186">
                  <c:v>-5.0119386228947002E-2</c:v>
                </c:pt>
                <c:pt idx="187">
                  <c:v>-5.0118789503937E-2</c:v>
                </c:pt>
                <c:pt idx="188">
                  <c:v>-4.9866015120727553E-2</c:v>
                </c:pt>
                <c:pt idx="189">
                  <c:v>-4.9569884525001447E-2</c:v>
                </c:pt>
                <c:pt idx="190">
                  <c:v>-4.9569437917721774E-2</c:v>
                </c:pt>
                <c:pt idx="191">
                  <c:v>-4.9559674298866409E-2</c:v>
                </c:pt>
                <c:pt idx="192">
                  <c:v>-4.921664659906954E-2</c:v>
                </c:pt>
                <c:pt idx="193">
                  <c:v>-4.8503845316351712E-2</c:v>
                </c:pt>
                <c:pt idx="194">
                  <c:v>-4.8961666900278915E-2</c:v>
                </c:pt>
                <c:pt idx="195">
                  <c:v>-4.8700856326171139E-2</c:v>
                </c:pt>
                <c:pt idx="196">
                  <c:v>-4.867182555177299E-2</c:v>
                </c:pt>
                <c:pt idx="197">
                  <c:v>-4.8042968417636216E-2</c:v>
                </c:pt>
                <c:pt idx="198">
                  <c:v>-4.7864872326010131E-2</c:v>
                </c:pt>
                <c:pt idx="199">
                  <c:v>-4.7659188289404825E-2</c:v>
                </c:pt>
                <c:pt idx="200">
                  <c:v>-4.763238993727395E-2</c:v>
                </c:pt>
                <c:pt idx="201">
                  <c:v>-4.7495890162256353E-2</c:v>
                </c:pt>
                <c:pt idx="202">
                  <c:v>-4.6700480519954408E-2</c:v>
                </c:pt>
                <c:pt idx="203">
                  <c:v>-4.6582030115821078E-2</c:v>
                </c:pt>
                <c:pt idx="204">
                  <c:v>-4.658193015218761E-2</c:v>
                </c:pt>
                <c:pt idx="205">
                  <c:v>-4.6245796805496099E-2</c:v>
                </c:pt>
                <c:pt idx="206">
                  <c:v>-4.6210671003471579E-2</c:v>
                </c:pt>
                <c:pt idx="207">
                  <c:v>-4.6210794461146364E-2</c:v>
                </c:pt>
                <c:pt idx="208">
                  <c:v>-4.6103597879077272E-2</c:v>
                </c:pt>
                <c:pt idx="209">
                  <c:v>-4.5780807973940019E-2</c:v>
                </c:pt>
                <c:pt idx="210">
                  <c:v>-4.5795448264213431E-2</c:v>
                </c:pt>
                <c:pt idx="211">
                  <c:v>-4.5795092222624248E-2</c:v>
                </c:pt>
                <c:pt idx="212">
                  <c:v>-4.5789547102024736E-2</c:v>
                </c:pt>
                <c:pt idx="213">
                  <c:v>-4.540967973766951E-2</c:v>
                </c:pt>
                <c:pt idx="214">
                  <c:v>-4.5422379449820083E-2</c:v>
                </c:pt>
                <c:pt idx="215">
                  <c:v>-4.535807048229705E-2</c:v>
                </c:pt>
                <c:pt idx="216">
                  <c:v>-4.536744532513888E-2</c:v>
                </c:pt>
                <c:pt idx="217">
                  <c:v>-4.5080108406835018E-2</c:v>
                </c:pt>
                <c:pt idx="218">
                  <c:v>-4.4684132834055278E-2</c:v>
                </c:pt>
                <c:pt idx="219">
                  <c:v>-4.4337969404840978E-2</c:v>
                </c:pt>
                <c:pt idx="220">
                  <c:v>-4.433487039012466E-2</c:v>
                </c:pt>
                <c:pt idx="221">
                  <c:v>-4.4250957960569194E-2</c:v>
                </c:pt>
                <c:pt idx="222">
                  <c:v>-4.3843639276518576E-2</c:v>
                </c:pt>
                <c:pt idx="223">
                  <c:v>-4.3831852404662419E-2</c:v>
                </c:pt>
                <c:pt idx="224">
                  <c:v>-4.3594344075341102E-2</c:v>
                </c:pt>
                <c:pt idx="225">
                  <c:v>-4.3599873301759386E-2</c:v>
                </c:pt>
                <c:pt idx="226">
                  <c:v>-4.3556196843741214E-2</c:v>
                </c:pt>
                <c:pt idx="227">
                  <c:v>-4.3425643121809868E-2</c:v>
                </c:pt>
                <c:pt idx="228">
                  <c:v>-4.3444226936534845E-2</c:v>
                </c:pt>
                <c:pt idx="229">
                  <c:v>-4.324406956925108E-2</c:v>
                </c:pt>
                <c:pt idx="230">
                  <c:v>-4.3216249799659122E-2</c:v>
                </c:pt>
                <c:pt idx="231">
                  <c:v>-4.312081067752218E-2</c:v>
                </c:pt>
                <c:pt idx="232">
                  <c:v>-4.3182822525966037E-2</c:v>
                </c:pt>
                <c:pt idx="233">
                  <c:v>-4.3127137287898132E-2</c:v>
                </c:pt>
                <c:pt idx="234">
                  <c:v>-4.3122277259613491E-2</c:v>
                </c:pt>
                <c:pt idx="235">
                  <c:v>-4.2994088195343033E-2</c:v>
                </c:pt>
                <c:pt idx="236">
                  <c:v>-4.3003143824302009E-2</c:v>
                </c:pt>
                <c:pt idx="237">
                  <c:v>-4.2975223406717125E-2</c:v>
                </c:pt>
                <c:pt idx="238">
                  <c:v>-4.2970672574695522E-2</c:v>
                </c:pt>
                <c:pt idx="239">
                  <c:v>-4.2983115183362855E-2</c:v>
                </c:pt>
                <c:pt idx="240">
                  <c:v>-4.2891878369754374E-2</c:v>
                </c:pt>
                <c:pt idx="241">
                  <c:v>-4.2864490407715478E-2</c:v>
                </c:pt>
                <c:pt idx="242">
                  <c:v>-4.2808357937254383E-2</c:v>
                </c:pt>
                <c:pt idx="243">
                  <c:v>-4.2647208895018898E-2</c:v>
                </c:pt>
                <c:pt idx="244">
                  <c:v>-4.2617250902643275E-2</c:v>
                </c:pt>
                <c:pt idx="245">
                  <c:v>-4.2598412805313166E-2</c:v>
                </c:pt>
                <c:pt idx="246">
                  <c:v>-4.259030636414602E-2</c:v>
                </c:pt>
                <c:pt idx="247">
                  <c:v>-4.2575310744787501E-2</c:v>
                </c:pt>
                <c:pt idx="248">
                  <c:v>-4.2553794877533087E-2</c:v>
                </c:pt>
                <c:pt idx="249">
                  <c:v>-4.2282797515893172E-2</c:v>
                </c:pt>
                <c:pt idx="250">
                  <c:v>-4.2295301541531022E-2</c:v>
                </c:pt>
                <c:pt idx="251">
                  <c:v>-4.208129624428434E-2</c:v>
                </c:pt>
                <c:pt idx="252">
                  <c:v>-4.2070217725656181E-2</c:v>
                </c:pt>
                <c:pt idx="253">
                  <c:v>-4.2050391569112E-2</c:v>
                </c:pt>
                <c:pt idx="254">
                  <c:v>-4.1767615239121106E-2</c:v>
                </c:pt>
                <c:pt idx="255">
                  <c:v>-4.1782417514861295E-2</c:v>
                </c:pt>
                <c:pt idx="256">
                  <c:v>-4.2418969599944553E-2</c:v>
                </c:pt>
                <c:pt idx="257">
                  <c:v>-4.2497137699192306E-2</c:v>
                </c:pt>
                <c:pt idx="258">
                  <c:v>-4.2503376364922268E-2</c:v>
                </c:pt>
                <c:pt idx="259">
                  <c:v>-4.2358164654114683E-2</c:v>
                </c:pt>
                <c:pt idx="260">
                  <c:v>-4.2353128247717857E-2</c:v>
                </c:pt>
                <c:pt idx="261">
                  <c:v>-4.2239795840003279E-2</c:v>
                </c:pt>
                <c:pt idx="262">
                  <c:v>-4.2251805441558314E-2</c:v>
                </c:pt>
                <c:pt idx="263">
                  <c:v>-4.2284988357913084E-2</c:v>
                </c:pt>
                <c:pt idx="264">
                  <c:v>-4.2272354299265215E-2</c:v>
                </c:pt>
                <c:pt idx="265">
                  <c:v>-4.2326500876669823E-2</c:v>
                </c:pt>
                <c:pt idx="266">
                  <c:v>-4.2268524961460704E-2</c:v>
                </c:pt>
                <c:pt idx="267">
                  <c:v>-4.2141423115095528E-2</c:v>
                </c:pt>
                <c:pt idx="268">
                  <c:v>-4.2155193318457018E-2</c:v>
                </c:pt>
                <c:pt idx="269">
                  <c:v>-4.2272504953703605E-2</c:v>
                </c:pt>
                <c:pt idx="270">
                  <c:v>-4.2401760487357117E-2</c:v>
                </c:pt>
                <c:pt idx="271">
                  <c:v>-4.2055128028844854E-2</c:v>
                </c:pt>
                <c:pt idx="272">
                  <c:v>-4.2021115946457077E-2</c:v>
                </c:pt>
                <c:pt idx="273">
                  <c:v>-4.2069737726532393E-2</c:v>
                </c:pt>
                <c:pt idx="274">
                  <c:v>-4.2122905882782363E-2</c:v>
                </c:pt>
                <c:pt idx="275">
                  <c:v>-4.2118879810241851E-2</c:v>
                </c:pt>
                <c:pt idx="276">
                  <c:v>-4.2080046630432244E-2</c:v>
                </c:pt>
                <c:pt idx="277">
                  <c:v>-4.2058758485652471E-2</c:v>
                </c:pt>
                <c:pt idx="278">
                  <c:v>-4.2396738336730987E-2</c:v>
                </c:pt>
                <c:pt idx="279">
                  <c:v>-4.2604419631769211E-2</c:v>
                </c:pt>
                <c:pt idx="280">
                  <c:v>-4.2522867767709527E-2</c:v>
                </c:pt>
                <c:pt idx="281">
                  <c:v>-4.2174939819360921E-2</c:v>
                </c:pt>
                <c:pt idx="282">
                  <c:v>-4.128862767131232E-2</c:v>
                </c:pt>
                <c:pt idx="283">
                  <c:v>-4.1308205906500757E-2</c:v>
                </c:pt>
                <c:pt idx="284">
                  <c:v>-4.1224342980716151E-2</c:v>
                </c:pt>
                <c:pt idx="285">
                  <c:v>-4.1194645762713179E-2</c:v>
                </c:pt>
                <c:pt idx="286">
                  <c:v>-4.110936259695451E-2</c:v>
                </c:pt>
                <c:pt idx="287">
                  <c:v>-4.1058420582251932E-2</c:v>
                </c:pt>
                <c:pt idx="288">
                  <c:v>-4.10553325766548E-2</c:v>
                </c:pt>
                <c:pt idx="289">
                  <c:v>-4.1066368331121303E-2</c:v>
                </c:pt>
                <c:pt idx="290">
                  <c:v>-4.1005117720858492E-2</c:v>
                </c:pt>
                <c:pt idx="291">
                  <c:v>-4.1016351981749771E-2</c:v>
                </c:pt>
                <c:pt idx="292">
                  <c:v>-4.1162541101470627E-2</c:v>
                </c:pt>
                <c:pt idx="293">
                  <c:v>-4.1139777320213934E-2</c:v>
                </c:pt>
                <c:pt idx="294">
                  <c:v>-4.0447188968876051E-2</c:v>
                </c:pt>
                <c:pt idx="295">
                  <c:v>-4.0184062992305716E-2</c:v>
                </c:pt>
                <c:pt idx="296">
                  <c:v>-4.0001108487613443E-2</c:v>
                </c:pt>
                <c:pt idx="297">
                  <c:v>-3.9856914430891066E-2</c:v>
                </c:pt>
                <c:pt idx="298">
                  <c:v>-3.9868222801193814E-2</c:v>
                </c:pt>
                <c:pt idx="299">
                  <c:v>-3.9864783300906433E-2</c:v>
                </c:pt>
                <c:pt idx="300">
                  <c:v>-3.9515470911400487E-2</c:v>
                </c:pt>
                <c:pt idx="301">
                  <c:v>-3.9530116772748383E-2</c:v>
                </c:pt>
                <c:pt idx="302">
                  <c:v>-3.9500064417068555E-2</c:v>
                </c:pt>
                <c:pt idx="303">
                  <c:v>-3.9504087778127396E-2</c:v>
                </c:pt>
                <c:pt idx="304">
                  <c:v>-3.9225114203968549E-2</c:v>
                </c:pt>
                <c:pt idx="305">
                  <c:v>-3.8943753650507396E-2</c:v>
                </c:pt>
                <c:pt idx="306">
                  <c:v>-3.8729593890610009E-2</c:v>
                </c:pt>
                <c:pt idx="307">
                  <c:v>-3.8736029634891624E-2</c:v>
                </c:pt>
                <c:pt idx="308">
                  <c:v>-3.875524718689418E-2</c:v>
                </c:pt>
                <c:pt idx="309">
                  <c:v>-3.8753022879130294E-2</c:v>
                </c:pt>
                <c:pt idx="310">
                  <c:v>-3.8632073481806112E-2</c:v>
                </c:pt>
                <c:pt idx="311">
                  <c:v>-3.8576340942281968E-2</c:v>
                </c:pt>
                <c:pt idx="312">
                  <c:v>-3.8480213228302709E-2</c:v>
                </c:pt>
                <c:pt idx="313">
                  <c:v>-3.8419507226068253E-2</c:v>
                </c:pt>
                <c:pt idx="314">
                  <c:v>-3.8322292008040659E-2</c:v>
                </c:pt>
                <c:pt idx="315">
                  <c:v>-3.6823666763198239E-2</c:v>
                </c:pt>
                <c:pt idx="316">
                  <c:v>-3.6790238800624445E-2</c:v>
                </c:pt>
                <c:pt idx="317">
                  <c:v>-3.6694127485436864E-2</c:v>
                </c:pt>
                <c:pt idx="318">
                  <c:v>-3.6345016652458026E-2</c:v>
                </c:pt>
                <c:pt idx="319">
                  <c:v>-3.5872417083161821E-2</c:v>
                </c:pt>
                <c:pt idx="320">
                  <c:v>-3.588140813380656E-2</c:v>
                </c:pt>
                <c:pt idx="321">
                  <c:v>-3.5933942993704185E-2</c:v>
                </c:pt>
                <c:pt idx="322">
                  <c:v>-3.5984505021318419E-2</c:v>
                </c:pt>
                <c:pt idx="323">
                  <c:v>-3.5621265573374507E-2</c:v>
                </c:pt>
                <c:pt idx="324">
                  <c:v>-3.3393096952530982E-2</c:v>
                </c:pt>
                <c:pt idx="325">
                  <c:v>-3.3443659856890066E-2</c:v>
                </c:pt>
                <c:pt idx="326">
                  <c:v>-3.343773312656452E-2</c:v>
                </c:pt>
                <c:pt idx="327">
                  <c:v>-3.3456433289159461E-2</c:v>
                </c:pt>
                <c:pt idx="328">
                  <c:v>-3.3429682469367811E-2</c:v>
                </c:pt>
                <c:pt idx="329">
                  <c:v>-3.3404407653760973E-2</c:v>
                </c:pt>
                <c:pt idx="330">
                  <c:v>-3.3402111730656429E-2</c:v>
                </c:pt>
                <c:pt idx="331">
                  <c:v>-3.3253019159918275E-2</c:v>
                </c:pt>
                <c:pt idx="332">
                  <c:v>-3.3201970131462477E-2</c:v>
                </c:pt>
                <c:pt idx="333">
                  <c:v>-3.3196082898131266E-2</c:v>
                </c:pt>
                <c:pt idx="334">
                  <c:v>-3.3075399356964102E-2</c:v>
                </c:pt>
                <c:pt idx="335">
                  <c:v>-3.2823787780867128E-2</c:v>
                </c:pt>
                <c:pt idx="336">
                  <c:v>-3.2656445532955485E-2</c:v>
                </c:pt>
                <c:pt idx="337">
                  <c:v>-3.1948388400053984E-2</c:v>
                </c:pt>
                <c:pt idx="338">
                  <c:v>-3.1949542705194636E-2</c:v>
                </c:pt>
                <c:pt idx="339">
                  <c:v>-3.1954127522307155E-2</c:v>
                </c:pt>
                <c:pt idx="340">
                  <c:v>-3.196398179131793E-2</c:v>
                </c:pt>
                <c:pt idx="341">
                  <c:v>-3.1850817261929759E-2</c:v>
                </c:pt>
                <c:pt idx="342">
                  <c:v>-3.1788972306407426E-2</c:v>
                </c:pt>
                <c:pt idx="343">
                  <c:v>-3.1775628590916205E-2</c:v>
                </c:pt>
                <c:pt idx="344">
                  <c:v>-3.1780802887894956E-2</c:v>
                </c:pt>
                <c:pt idx="345">
                  <c:v>-3.1773061612535534E-2</c:v>
                </c:pt>
                <c:pt idx="346">
                  <c:v>-3.1777887826790384E-2</c:v>
                </c:pt>
                <c:pt idx="347">
                  <c:v>-3.1760142405232568E-2</c:v>
                </c:pt>
                <c:pt idx="348">
                  <c:v>-3.0913685644156128E-2</c:v>
                </c:pt>
                <c:pt idx="349">
                  <c:v>-3.0827681137007137E-2</c:v>
                </c:pt>
                <c:pt idx="350">
                  <c:v>-3.0754207705101587E-2</c:v>
                </c:pt>
                <c:pt idx="351">
                  <c:v>-3.0757552184472084E-2</c:v>
                </c:pt>
                <c:pt idx="352">
                  <c:v>-3.063997591052426E-2</c:v>
                </c:pt>
                <c:pt idx="353">
                  <c:v>-3.0408439726593673E-2</c:v>
                </c:pt>
                <c:pt idx="354">
                  <c:v>-3.0419861381834452E-2</c:v>
                </c:pt>
                <c:pt idx="355">
                  <c:v>-3.0340290353224417E-2</c:v>
                </c:pt>
                <c:pt idx="356">
                  <c:v>-2.9952179911301634E-2</c:v>
                </c:pt>
                <c:pt idx="357">
                  <c:v>-2.9701281873708792E-2</c:v>
                </c:pt>
                <c:pt idx="358">
                  <c:v>-2.9719156918608759E-2</c:v>
                </c:pt>
                <c:pt idx="359">
                  <c:v>-2.9671559718860326E-2</c:v>
                </c:pt>
                <c:pt idx="360">
                  <c:v>-2.9674140281963003E-2</c:v>
                </c:pt>
                <c:pt idx="361">
                  <c:v>-2.9694901391916793E-2</c:v>
                </c:pt>
                <c:pt idx="362">
                  <c:v>-2.9262520909293106E-2</c:v>
                </c:pt>
                <c:pt idx="363">
                  <c:v>-2.9447041219795855E-2</c:v>
                </c:pt>
                <c:pt idx="364">
                  <c:v>-2.9448667653910254E-2</c:v>
                </c:pt>
                <c:pt idx="365">
                  <c:v>-2.9314679975800288E-2</c:v>
                </c:pt>
                <c:pt idx="366">
                  <c:v>-2.9321064549994752E-2</c:v>
                </c:pt>
                <c:pt idx="367">
                  <c:v>-2.9292884602922484E-2</c:v>
                </c:pt>
                <c:pt idx="368">
                  <c:v>-2.9341432213970873E-2</c:v>
                </c:pt>
                <c:pt idx="369">
                  <c:v>-2.9340516969693253E-2</c:v>
                </c:pt>
                <c:pt idx="370">
                  <c:v>-2.9688712715022186E-2</c:v>
                </c:pt>
                <c:pt idx="371">
                  <c:v>-2.9646600631686931E-2</c:v>
                </c:pt>
                <c:pt idx="372">
                  <c:v>-2.9513171191897416E-2</c:v>
                </c:pt>
                <c:pt idx="373">
                  <c:v>-2.949561093298906E-2</c:v>
                </c:pt>
                <c:pt idx="374">
                  <c:v>-2.9490777076689685E-2</c:v>
                </c:pt>
                <c:pt idx="375">
                  <c:v>-2.9427246696595886E-2</c:v>
                </c:pt>
                <c:pt idx="376">
                  <c:v>-2.9408749452885054E-2</c:v>
                </c:pt>
                <c:pt idx="377">
                  <c:v>-2.9246611411322128E-2</c:v>
                </c:pt>
                <c:pt idx="378">
                  <c:v>-2.9380806801552615E-2</c:v>
                </c:pt>
                <c:pt idx="379">
                  <c:v>-2.9519751400906884E-2</c:v>
                </c:pt>
                <c:pt idx="380">
                  <c:v>-2.910968698834206E-2</c:v>
                </c:pt>
                <c:pt idx="381">
                  <c:v>-2.8921146676061812E-2</c:v>
                </c:pt>
                <c:pt idx="382">
                  <c:v>-2.8817038300588592E-2</c:v>
                </c:pt>
                <c:pt idx="383">
                  <c:v>-2.8714394456068833E-2</c:v>
                </c:pt>
                <c:pt idx="384">
                  <c:v>-2.8581983206336977E-2</c:v>
                </c:pt>
                <c:pt idx="385">
                  <c:v>-2.8575604839276736E-2</c:v>
                </c:pt>
                <c:pt idx="386">
                  <c:v>-2.8578507495244616E-2</c:v>
                </c:pt>
                <c:pt idx="387">
                  <c:v>-2.8495594961845599E-2</c:v>
                </c:pt>
                <c:pt idx="388">
                  <c:v>-2.8542054036510542E-2</c:v>
                </c:pt>
                <c:pt idx="389">
                  <c:v>-2.848866151662038E-2</c:v>
                </c:pt>
                <c:pt idx="390">
                  <c:v>-2.8442673703891311E-2</c:v>
                </c:pt>
                <c:pt idx="391">
                  <c:v>-2.8448608799115156E-2</c:v>
                </c:pt>
                <c:pt idx="392">
                  <c:v>-2.8160656821533785E-2</c:v>
                </c:pt>
                <c:pt idx="393">
                  <c:v>-2.8163355571518174E-2</c:v>
                </c:pt>
                <c:pt idx="394">
                  <c:v>-2.8202235524825568E-2</c:v>
                </c:pt>
                <c:pt idx="395">
                  <c:v>-2.8108676793436208E-2</c:v>
                </c:pt>
                <c:pt idx="396">
                  <c:v>-2.8114585209253744E-2</c:v>
                </c:pt>
                <c:pt idx="397">
                  <c:v>-2.8127538304049734E-2</c:v>
                </c:pt>
                <c:pt idx="398">
                  <c:v>-2.8059634631469519E-2</c:v>
                </c:pt>
                <c:pt idx="399">
                  <c:v>-2.8063857642484116E-2</c:v>
                </c:pt>
                <c:pt idx="400">
                  <c:v>-2.7638599383348835E-2</c:v>
                </c:pt>
                <c:pt idx="401">
                  <c:v>-2.7787049322101263E-2</c:v>
                </c:pt>
                <c:pt idx="402">
                  <c:v>-2.8033891966175794E-2</c:v>
                </c:pt>
                <c:pt idx="403">
                  <c:v>-2.802543139088521E-2</c:v>
                </c:pt>
                <c:pt idx="404">
                  <c:v>-2.793282681287643E-2</c:v>
                </c:pt>
                <c:pt idx="405">
                  <c:v>-2.7887208233927666E-2</c:v>
                </c:pt>
                <c:pt idx="406">
                  <c:v>-2.7874140679167377E-2</c:v>
                </c:pt>
                <c:pt idx="407">
                  <c:v>-2.7805446802782137E-2</c:v>
                </c:pt>
                <c:pt idx="408">
                  <c:v>-2.7866609911513403E-2</c:v>
                </c:pt>
                <c:pt idx="409">
                  <c:v>-2.7781671943702371E-2</c:v>
                </c:pt>
                <c:pt idx="410">
                  <c:v>-2.7770723315735522E-2</c:v>
                </c:pt>
                <c:pt idx="411">
                  <c:v>-2.7697093339770489E-2</c:v>
                </c:pt>
                <c:pt idx="412">
                  <c:v>-2.7712648808849976E-2</c:v>
                </c:pt>
                <c:pt idx="413">
                  <c:v>-2.7754607170474191E-2</c:v>
                </c:pt>
                <c:pt idx="414">
                  <c:v>-2.8424981073155595E-2</c:v>
                </c:pt>
                <c:pt idx="415">
                  <c:v>-2.8410176483081549E-2</c:v>
                </c:pt>
                <c:pt idx="416">
                  <c:v>-2.8377131880459979E-2</c:v>
                </c:pt>
                <c:pt idx="417">
                  <c:v>-2.8388878405057116E-2</c:v>
                </c:pt>
                <c:pt idx="418">
                  <c:v>-2.8410079654789068E-2</c:v>
                </c:pt>
                <c:pt idx="419">
                  <c:v>-2.8420517794761964E-2</c:v>
                </c:pt>
                <c:pt idx="420">
                  <c:v>-2.8359280098532971E-2</c:v>
                </c:pt>
                <c:pt idx="421">
                  <c:v>-2.8356970126420449E-2</c:v>
                </c:pt>
                <c:pt idx="422">
                  <c:v>-2.8361075456142134E-2</c:v>
                </c:pt>
                <c:pt idx="423">
                  <c:v>-2.8320137532469768E-2</c:v>
                </c:pt>
                <c:pt idx="424">
                  <c:v>-2.8316409558897956E-2</c:v>
                </c:pt>
                <c:pt idx="425">
                  <c:v>-2.8232736777870953E-2</c:v>
                </c:pt>
                <c:pt idx="426">
                  <c:v>-2.8228089781273502E-2</c:v>
                </c:pt>
                <c:pt idx="427">
                  <c:v>-2.8270242031876187E-2</c:v>
                </c:pt>
                <c:pt idx="428">
                  <c:v>-2.8525332142943369E-2</c:v>
                </c:pt>
                <c:pt idx="429">
                  <c:v>-2.8549519693299868E-2</c:v>
                </c:pt>
                <c:pt idx="430">
                  <c:v>-2.8738883693429425E-2</c:v>
                </c:pt>
                <c:pt idx="431">
                  <c:v>-2.886209160859643E-2</c:v>
                </c:pt>
                <c:pt idx="432">
                  <c:v>-2.8869882486254484E-2</c:v>
                </c:pt>
                <c:pt idx="433">
                  <c:v>-2.8869318472604499E-2</c:v>
                </c:pt>
                <c:pt idx="434">
                  <c:v>-2.8893756038409261E-2</c:v>
                </c:pt>
                <c:pt idx="435">
                  <c:v>-2.8903737480414908E-2</c:v>
                </c:pt>
                <c:pt idx="436">
                  <c:v>-2.8884279729511086E-2</c:v>
                </c:pt>
                <c:pt idx="437">
                  <c:v>-2.894305535017188E-2</c:v>
                </c:pt>
                <c:pt idx="438">
                  <c:v>-2.8658786416472883E-2</c:v>
                </c:pt>
                <c:pt idx="439">
                  <c:v>-2.86423046151148E-2</c:v>
                </c:pt>
                <c:pt idx="440">
                  <c:v>-2.8867956686615473E-2</c:v>
                </c:pt>
                <c:pt idx="441">
                  <c:v>-2.8982044681314212E-2</c:v>
                </c:pt>
                <c:pt idx="442">
                  <c:v>-2.8979997445109568E-2</c:v>
                </c:pt>
                <c:pt idx="443">
                  <c:v>-2.9117595141396897E-2</c:v>
                </c:pt>
                <c:pt idx="444">
                  <c:v>-2.9586607805399918E-2</c:v>
                </c:pt>
                <c:pt idx="445">
                  <c:v>-2.9618711707593202E-2</c:v>
                </c:pt>
                <c:pt idx="446">
                  <c:v>-2.9584837150709278E-2</c:v>
                </c:pt>
                <c:pt idx="447">
                  <c:v>-2.9548468813062941E-2</c:v>
                </c:pt>
                <c:pt idx="448">
                  <c:v>-2.9582923076269946E-2</c:v>
                </c:pt>
                <c:pt idx="449">
                  <c:v>-2.9589997279934846E-2</c:v>
                </c:pt>
                <c:pt idx="450">
                  <c:v>-2.9694796294475894E-2</c:v>
                </c:pt>
                <c:pt idx="451">
                  <c:v>-2.9707048010845772E-2</c:v>
                </c:pt>
                <c:pt idx="452">
                  <c:v>-2.9753828666303415E-2</c:v>
                </c:pt>
                <c:pt idx="453">
                  <c:v>-2.969004387691692E-2</c:v>
                </c:pt>
                <c:pt idx="454">
                  <c:v>-2.9690028465766374E-2</c:v>
                </c:pt>
                <c:pt idx="455">
                  <c:v>-2.9689649061598503E-2</c:v>
                </c:pt>
                <c:pt idx="456">
                  <c:v>-2.9614387749601231E-2</c:v>
                </c:pt>
                <c:pt idx="457">
                  <c:v>-2.9637542387761381E-2</c:v>
                </c:pt>
                <c:pt idx="458">
                  <c:v>-2.9794865624053108E-2</c:v>
                </c:pt>
                <c:pt idx="459">
                  <c:v>-2.982156199758134E-2</c:v>
                </c:pt>
                <c:pt idx="460">
                  <c:v>-2.9782927143698488E-2</c:v>
                </c:pt>
                <c:pt idx="461">
                  <c:v>-2.9783392342809804E-2</c:v>
                </c:pt>
                <c:pt idx="462">
                  <c:v>-2.970327175679318E-2</c:v>
                </c:pt>
                <c:pt idx="463">
                  <c:v>-2.9704094931718179E-2</c:v>
                </c:pt>
                <c:pt idx="464">
                  <c:v>-2.9710381643349763E-2</c:v>
                </c:pt>
                <c:pt idx="465">
                  <c:v>-2.9708895445489141E-2</c:v>
                </c:pt>
                <c:pt idx="466">
                  <c:v>-2.9704622386134916E-2</c:v>
                </c:pt>
                <c:pt idx="467">
                  <c:v>-2.9642970742416959E-2</c:v>
                </c:pt>
                <c:pt idx="468">
                  <c:v>-2.9694223465083869E-2</c:v>
                </c:pt>
                <c:pt idx="469">
                  <c:v>-2.9750157822877415E-2</c:v>
                </c:pt>
                <c:pt idx="470">
                  <c:v>-3.1475284960472895E-2</c:v>
                </c:pt>
                <c:pt idx="471">
                  <c:v>-3.1734563491343966E-2</c:v>
                </c:pt>
                <c:pt idx="472">
                  <c:v>-3.1704609563268059E-2</c:v>
                </c:pt>
                <c:pt idx="473">
                  <c:v>-3.171673548283515E-2</c:v>
                </c:pt>
                <c:pt idx="474">
                  <c:v>-3.1838506930062821E-2</c:v>
                </c:pt>
                <c:pt idx="475">
                  <c:v>-3.1871455006111084E-2</c:v>
                </c:pt>
                <c:pt idx="476">
                  <c:v>-3.1955467535157205E-2</c:v>
                </c:pt>
                <c:pt idx="477">
                  <c:v>-3.1994693307670311E-2</c:v>
                </c:pt>
                <c:pt idx="478">
                  <c:v>-3.1975132812610191E-2</c:v>
                </c:pt>
                <c:pt idx="479">
                  <c:v>-3.1909252531949477E-2</c:v>
                </c:pt>
                <c:pt idx="480">
                  <c:v>-3.2024640630279426E-2</c:v>
                </c:pt>
                <c:pt idx="481">
                  <c:v>-3.2028169156394823E-2</c:v>
                </c:pt>
                <c:pt idx="482">
                  <c:v>-3.1953698914293782E-2</c:v>
                </c:pt>
                <c:pt idx="483">
                  <c:v>-3.2201389863262521E-2</c:v>
                </c:pt>
                <c:pt idx="484">
                  <c:v>-3.2269203868666829E-2</c:v>
                </c:pt>
                <c:pt idx="485">
                  <c:v>-3.2277120235611627E-2</c:v>
                </c:pt>
                <c:pt idx="486">
                  <c:v>-3.2407212515912012E-2</c:v>
                </c:pt>
                <c:pt idx="487">
                  <c:v>-3.2372770688492251E-2</c:v>
                </c:pt>
                <c:pt idx="488">
                  <c:v>-3.2371408009948803E-2</c:v>
                </c:pt>
                <c:pt idx="489">
                  <c:v>-3.2455566198782565E-2</c:v>
                </c:pt>
                <c:pt idx="490">
                  <c:v>-3.2648876257852621E-2</c:v>
                </c:pt>
                <c:pt idx="491">
                  <c:v>-3.2698423122199734E-2</c:v>
                </c:pt>
                <c:pt idx="492">
                  <c:v>-3.2692612351082062E-2</c:v>
                </c:pt>
                <c:pt idx="493">
                  <c:v>-3.269145508178898E-2</c:v>
                </c:pt>
                <c:pt idx="494">
                  <c:v>-3.2908282769815389E-2</c:v>
                </c:pt>
                <c:pt idx="495">
                  <c:v>-3.3020665582050281E-2</c:v>
                </c:pt>
                <c:pt idx="496">
                  <c:v>-3.3005407093034185E-2</c:v>
                </c:pt>
                <c:pt idx="497">
                  <c:v>-3.300277591175408E-2</c:v>
                </c:pt>
                <c:pt idx="498">
                  <c:v>-3.3003202691618494E-2</c:v>
                </c:pt>
                <c:pt idx="499">
                  <c:v>-3.328771499351111E-2</c:v>
                </c:pt>
                <c:pt idx="500">
                  <c:v>-3.3280429221867025E-2</c:v>
                </c:pt>
                <c:pt idx="501">
                  <c:v>-3.3226513909524878E-2</c:v>
                </c:pt>
                <c:pt idx="502">
                  <c:v>-3.3224329923267848E-2</c:v>
                </c:pt>
                <c:pt idx="503">
                  <c:v>-3.3218315433438415E-2</c:v>
                </c:pt>
                <c:pt idx="504">
                  <c:v>-3.3200815571934113E-2</c:v>
                </c:pt>
                <c:pt idx="505">
                  <c:v>-3.3279915266934031E-2</c:v>
                </c:pt>
                <c:pt idx="506">
                  <c:v>-3.247064699516506E-2</c:v>
                </c:pt>
                <c:pt idx="507">
                  <c:v>-3.3191968266884017E-2</c:v>
                </c:pt>
                <c:pt idx="508">
                  <c:v>-3.3220340877795858E-2</c:v>
                </c:pt>
                <c:pt idx="509">
                  <c:v>-3.323545005125679E-2</c:v>
                </c:pt>
                <c:pt idx="510">
                  <c:v>-3.3315640394267099E-2</c:v>
                </c:pt>
                <c:pt idx="511">
                  <c:v>-3.3369583501760891E-2</c:v>
                </c:pt>
                <c:pt idx="512">
                  <c:v>-3.3358686753795191E-2</c:v>
                </c:pt>
                <c:pt idx="513">
                  <c:v>-3.3396396737815054E-2</c:v>
                </c:pt>
                <c:pt idx="514">
                  <c:v>-3.338551092372561E-2</c:v>
                </c:pt>
                <c:pt idx="515">
                  <c:v>-3.3356215946703557E-2</c:v>
                </c:pt>
                <c:pt idx="516">
                  <c:v>-3.3362910889218278E-2</c:v>
                </c:pt>
                <c:pt idx="517">
                  <c:v>-3.3349459758128475E-2</c:v>
                </c:pt>
                <c:pt idx="518">
                  <c:v>-3.3335034142640517E-2</c:v>
                </c:pt>
                <c:pt idx="519">
                  <c:v>-3.3195223529250958E-2</c:v>
                </c:pt>
                <c:pt idx="520">
                  <c:v>-3.2975779047866041E-2</c:v>
                </c:pt>
                <c:pt idx="521">
                  <c:v>-3.2959796764095488E-2</c:v>
                </c:pt>
                <c:pt idx="522">
                  <c:v>-3.2939640496332544E-2</c:v>
                </c:pt>
                <c:pt idx="523">
                  <c:v>-3.2800981796818798E-2</c:v>
                </c:pt>
                <c:pt idx="524">
                  <c:v>-3.2710777573806388E-2</c:v>
                </c:pt>
                <c:pt idx="525">
                  <c:v>-3.277265316012843E-2</c:v>
                </c:pt>
                <c:pt idx="526">
                  <c:v>-3.2759353516815068E-2</c:v>
                </c:pt>
                <c:pt idx="527">
                  <c:v>-3.3023893402542588E-2</c:v>
                </c:pt>
                <c:pt idx="528">
                  <c:v>-3.2595054132725156E-2</c:v>
                </c:pt>
                <c:pt idx="529">
                  <c:v>-3.2295195110304341E-2</c:v>
                </c:pt>
                <c:pt idx="530">
                  <c:v>-3.2314152748657662E-2</c:v>
                </c:pt>
                <c:pt idx="531">
                  <c:v>-3.2303170617971437E-2</c:v>
                </c:pt>
                <c:pt idx="532">
                  <c:v>-3.2199878914981855E-2</c:v>
                </c:pt>
                <c:pt idx="533">
                  <c:v>-3.218151856536286E-2</c:v>
                </c:pt>
                <c:pt idx="534">
                  <c:v>-3.2161303504358939E-2</c:v>
                </c:pt>
                <c:pt idx="535">
                  <c:v>-3.2153990926669894E-2</c:v>
                </c:pt>
                <c:pt idx="536">
                  <c:v>-3.2353542844029519E-2</c:v>
                </c:pt>
                <c:pt idx="537">
                  <c:v>-3.2344502630954335E-2</c:v>
                </c:pt>
                <c:pt idx="538">
                  <c:v>-3.2292393588524426E-2</c:v>
                </c:pt>
                <c:pt idx="539">
                  <c:v>-3.2677507327187452E-2</c:v>
                </c:pt>
                <c:pt idx="540">
                  <c:v>-3.267802412859034E-2</c:v>
                </c:pt>
                <c:pt idx="541">
                  <c:v>-3.2689876520110572E-2</c:v>
                </c:pt>
                <c:pt idx="542">
                  <c:v>-3.2488363035291658E-2</c:v>
                </c:pt>
                <c:pt idx="543">
                  <c:v>-3.2464680495778879E-2</c:v>
                </c:pt>
                <c:pt idx="544">
                  <c:v>-3.2469736362782456E-2</c:v>
                </c:pt>
                <c:pt idx="545">
                  <c:v>-3.2468536527853767E-2</c:v>
                </c:pt>
                <c:pt idx="546">
                  <c:v>-3.2560901986978433E-2</c:v>
                </c:pt>
                <c:pt idx="547">
                  <c:v>-3.2848049467261622E-2</c:v>
                </c:pt>
                <c:pt idx="548">
                  <c:v>-3.283609618109596E-2</c:v>
                </c:pt>
                <c:pt idx="549">
                  <c:v>-3.2835531628294078E-2</c:v>
                </c:pt>
                <c:pt idx="550">
                  <c:v>-3.2779317448022927E-2</c:v>
                </c:pt>
                <c:pt idx="551">
                  <c:v>-3.2947067656610783E-2</c:v>
                </c:pt>
                <c:pt idx="552">
                  <c:v>-3.3039832753417202E-2</c:v>
                </c:pt>
                <c:pt idx="553">
                  <c:v>-3.3104077188090553E-2</c:v>
                </c:pt>
                <c:pt idx="554">
                  <c:v>-3.3101940007625542E-2</c:v>
                </c:pt>
                <c:pt idx="555">
                  <c:v>-3.3078256168926352E-2</c:v>
                </c:pt>
                <c:pt idx="556">
                  <c:v>-3.3154396473513162E-2</c:v>
                </c:pt>
                <c:pt idx="557">
                  <c:v>-3.3154068857296687E-2</c:v>
                </c:pt>
                <c:pt idx="558">
                  <c:v>-3.3162924719059461E-2</c:v>
                </c:pt>
                <c:pt idx="559">
                  <c:v>-3.3159453289958181E-2</c:v>
                </c:pt>
                <c:pt idx="560">
                  <c:v>-3.3115117753105182E-2</c:v>
                </c:pt>
                <c:pt idx="561">
                  <c:v>-3.3123272971519131E-2</c:v>
                </c:pt>
                <c:pt idx="562">
                  <c:v>-3.31276729877742E-2</c:v>
                </c:pt>
                <c:pt idx="563">
                  <c:v>-3.3230587906705071E-2</c:v>
                </c:pt>
                <c:pt idx="564">
                  <c:v>-3.3007160927871405E-2</c:v>
                </c:pt>
                <c:pt idx="565">
                  <c:v>-3.2994501722267262E-2</c:v>
                </c:pt>
                <c:pt idx="566">
                  <c:v>-3.2972364074895837E-2</c:v>
                </c:pt>
                <c:pt idx="567">
                  <c:v>-3.2971604712182655E-2</c:v>
                </c:pt>
                <c:pt idx="568">
                  <c:v>-3.2963134862911921E-2</c:v>
                </c:pt>
                <c:pt idx="569">
                  <c:v>-3.2963346898256238E-2</c:v>
                </c:pt>
                <c:pt idx="570">
                  <c:v>-3.301856957745905E-2</c:v>
                </c:pt>
                <c:pt idx="571">
                  <c:v>-3.2965878468920698E-2</c:v>
                </c:pt>
                <c:pt idx="572">
                  <c:v>-3.2916144282211499E-2</c:v>
                </c:pt>
                <c:pt idx="573">
                  <c:v>-3.2913378109476324E-2</c:v>
                </c:pt>
                <c:pt idx="574">
                  <c:v>-3.3045141455596179E-2</c:v>
                </c:pt>
                <c:pt idx="575">
                  <c:v>-3.2885725779778316E-2</c:v>
                </c:pt>
                <c:pt idx="576">
                  <c:v>-3.2911437467501414E-2</c:v>
                </c:pt>
                <c:pt idx="577">
                  <c:v>-3.2852152172115907E-2</c:v>
                </c:pt>
                <c:pt idx="578">
                  <c:v>-3.2853840895133019E-2</c:v>
                </c:pt>
                <c:pt idx="579">
                  <c:v>-3.2886555470417619E-2</c:v>
                </c:pt>
                <c:pt idx="580">
                  <c:v>-3.2959935451428689E-2</c:v>
                </c:pt>
                <c:pt idx="581">
                  <c:v>-3.298843721930645E-2</c:v>
                </c:pt>
                <c:pt idx="582">
                  <c:v>-3.2980332744832828E-2</c:v>
                </c:pt>
                <c:pt idx="583">
                  <c:v>-3.2979703563685528E-2</c:v>
                </c:pt>
                <c:pt idx="584">
                  <c:v>-3.2962439607649614E-2</c:v>
                </c:pt>
                <c:pt idx="585">
                  <c:v>-3.2970098539927037E-2</c:v>
                </c:pt>
                <c:pt idx="586">
                  <c:v>-3.3016880525479984E-2</c:v>
                </c:pt>
                <c:pt idx="587">
                  <c:v>-3.3027745142637781E-2</c:v>
                </c:pt>
                <c:pt idx="588">
                  <c:v>-3.3026859274949028E-2</c:v>
                </c:pt>
                <c:pt idx="589">
                  <c:v>-3.3043857346037042E-2</c:v>
                </c:pt>
                <c:pt idx="590">
                  <c:v>-3.3032243904055819E-2</c:v>
                </c:pt>
                <c:pt idx="591">
                  <c:v>-3.2947395008977809E-2</c:v>
                </c:pt>
                <c:pt idx="592">
                  <c:v>-3.2932940271956271E-2</c:v>
                </c:pt>
                <c:pt idx="593">
                  <c:v>-3.290556303280525E-2</c:v>
                </c:pt>
                <c:pt idx="594">
                  <c:v>-3.2892607103665657E-2</c:v>
                </c:pt>
                <c:pt idx="595">
                  <c:v>-3.2902958894241469E-2</c:v>
                </c:pt>
                <c:pt idx="596">
                  <c:v>-3.289047331344104E-2</c:v>
                </c:pt>
                <c:pt idx="597">
                  <c:v>-3.2822257481651872E-2</c:v>
                </c:pt>
                <c:pt idx="598">
                  <c:v>-3.2830669826883187E-2</c:v>
                </c:pt>
                <c:pt idx="599">
                  <c:v>-3.2826264316523364E-2</c:v>
                </c:pt>
                <c:pt idx="600">
                  <c:v>-3.2834181506074436E-2</c:v>
                </c:pt>
                <c:pt idx="601">
                  <c:v>-3.2852747220148755E-2</c:v>
                </c:pt>
                <c:pt idx="602">
                  <c:v>-3.297638107676279E-2</c:v>
                </c:pt>
                <c:pt idx="603">
                  <c:v>-3.2987182142253109E-2</c:v>
                </c:pt>
                <c:pt idx="604">
                  <c:v>-3.3074247592583622E-2</c:v>
                </c:pt>
                <c:pt idx="605">
                  <c:v>-3.3070318158903933E-2</c:v>
                </c:pt>
                <c:pt idx="606">
                  <c:v>-3.3104716186275182E-2</c:v>
                </c:pt>
                <c:pt idx="607">
                  <c:v>-3.3105669472881828E-2</c:v>
                </c:pt>
                <c:pt idx="608">
                  <c:v>-3.3160353752516664E-2</c:v>
                </c:pt>
                <c:pt idx="609">
                  <c:v>-3.2762886461211789E-2</c:v>
                </c:pt>
                <c:pt idx="610">
                  <c:v>-3.2760469829234855E-2</c:v>
                </c:pt>
                <c:pt idx="611">
                  <c:v>-3.2951280994565797E-2</c:v>
                </c:pt>
                <c:pt idx="612">
                  <c:v>-3.294569518945132E-2</c:v>
                </c:pt>
                <c:pt idx="613">
                  <c:v>-3.2785150707033646E-2</c:v>
                </c:pt>
                <c:pt idx="614">
                  <c:v>-3.2833695359790534E-2</c:v>
                </c:pt>
                <c:pt idx="615">
                  <c:v>-3.2827097592894088E-2</c:v>
                </c:pt>
                <c:pt idx="616">
                  <c:v>-3.3034648221368514E-2</c:v>
                </c:pt>
                <c:pt idx="617">
                  <c:v>-3.3076902605389501E-2</c:v>
                </c:pt>
                <c:pt idx="618">
                  <c:v>-3.3029158341034801E-2</c:v>
                </c:pt>
                <c:pt idx="619">
                  <c:v>-3.3128392198776627E-2</c:v>
                </c:pt>
                <c:pt idx="620">
                  <c:v>-3.3392890054604524E-2</c:v>
                </c:pt>
                <c:pt idx="621">
                  <c:v>-3.3337742290995086E-2</c:v>
                </c:pt>
                <c:pt idx="622">
                  <c:v>-3.3650785375238142E-2</c:v>
                </c:pt>
                <c:pt idx="623">
                  <c:v>-3.3646261443419874E-2</c:v>
                </c:pt>
                <c:pt idx="624">
                  <c:v>-3.3641506803535434E-2</c:v>
                </c:pt>
                <c:pt idx="625">
                  <c:v>-3.364640845837652E-2</c:v>
                </c:pt>
                <c:pt idx="626">
                  <c:v>-3.3918020331322372E-2</c:v>
                </c:pt>
                <c:pt idx="627">
                  <c:v>-3.4303904312030897E-2</c:v>
                </c:pt>
                <c:pt idx="628">
                  <c:v>-3.4176415162804286E-2</c:v>
                </c:pt>
                <c:pt idx="629">
                  <c:v>-3.4064499530658571E-2</c:v>
                </c:pt>
                <c:pt idx="630">
                  <c:v>-3.4035413861547931E-2</c:v>
                </c:pt>
                <c:pt idx="631">
                  <c:v>-3.441909284644077E-2</c:v>
                </c:pt>
                <c:pt idx="632">
                  <c:v>-3.4519038278374575E-2</c:v>
                </c:pt>
                <c:pt idx="633">
                  <c:v>-3.4501837870620541E-2</c:v>
                </c:pt>
                <c:pt idx="634">
                  <c:v>-3.4503585667663789E-2</c:v>
                </c:pt>
                <c:pt idx="635">
                  <c:v>-3.4687473930834364E-2</c:v>
                </c:pt>
                <c:pt idx="636">
                  <c:v>-3.4684099681429353E-2</c:v>
                </c:pt>
                <c:pt idx="637">
                  <c:v>-3.4788571865169725E-2</c:v>
                </c:pt>
                <c:pt idx="638">
                  <c:v>-3.4833325618951576E-2</c:v>
                </c:pt>
                <c:pt idx="639">
                  <c:v>-3.492841314929087E-2</c:v>
                </c:pt>
                <c:pt idx="640">
                  <c:v>-3.4967236499835061E-2</c:v>
                </c:pt>
                <c:pt idx="641">
                  <c:v>-3.4939238828626616E-2</c:v>
                </c:pt>
                <c:pt idx="642">
                  <c:v>-3.4930438979642535E-2</c:v>
                </c:pt>
                <c:pt idx="643">
                  <c:v>-3.4929962334850247E-2</c:v>
                </c:pt>
                <c:pt idx="644">
                  <c:v>-3.4900604029965969E-2</c:v>
                </c:pt>
                <c:pt idx="645">
                  <c:v>-3.4869953271687966E-2</c:v>
                </c:pt>
                <c:pt idx="646">
                  <c:v>-3.4847264686670064E-2</c:v>
                </c:pt>
                <c:pt idx="647">
                  <c:v>-3.5086670475340968E-2</c:v>
                </c:pt>
                <c:pt idx="648">
                  <c:v>-3.5128065402733159E-2</c:v>
                </c:pt>
                <c:pt idx="649">
                  <c:v>-3.5218803762843816E-2</c:v>
                </c:pt>
                <c:pt idx="650">
                  <c:v>-3.5292340607599094E-2</c:v>
                </c:pt>
                <c:pt idx="651">
                  <c:v>-3.5100344992041302E-2</c:v>
                </c:pt>
                <c:pt idx="652">
                  <c:v>-3.4819566700660005E-2</c:v>
                </c:pt>
                <c:pt idx="653">
                  <c:v>-3.4806188728304065E-2</c:v>
                </c:pt>
                <c:pt idx="654">
                  <c:v>-3.4869399312759126E-2</c:v>
                </c:pt>
                <c:pt idx="655">
                  <c:v>-3.5646098068570019E-2</c:v>
                </c:pt>
                <c:pt idx="656">
                  <c:v>-3.5897819947549481E-2</c:v>
                </c:pt>
                <c:pt idx="657">
                  <c:v>-3.6001390325044111E-2</c:v>
                </c:pt>
                <c:pt idx="658">
                  <c:v>-3.6320218781930404E-2</c:v>
                </c:pt>
                <c:pt idx="659">
                  <c:v>-3.6378153023461063E-2</c:v>
                </c:pt>
                <c:pt idx="660">
                  <c:v>-3.6376028741703106E-2</c:v>
                </c:pt>
                <c:pt idx="661">
                  <c:v>-3.6381603371686326E-2</c:v>
                </c:pt>
                <c:pt idx="662">
                  <c:v>-3.6370421070126557E-2</c:v>
                </c:pt>
                <c:pt idx="663">
                  <c:v>-3.6324413006369745E-2</c:v>
                </c:pt>
                <c:pt idx="664">
                  <c:v>-3.5880825367862697E-2</c:v>
                </c:pt>
                <c:pt idx="665">
                  <c:v>-3.5906791389594732E-2</c:v>
                </c:pt>
                <c:pt idx="666">
                  <c:v>-3.5927768691586009E-2</c:v>
                </c:pt>
                <c:pt idx="667">
                  <c:v>-3.5946455023441147E-2</c:v>
                </c:pt>
                <c:pt idx="668">
                  <c:v>-3.5852849731917574E-2</c:v>
                </c:pt>
                <c:pt idx="669">
                  <c:v>-3.6048221904719388E-2</c:v>
                </c:pt>
                <c:pt idx="670">
                  <c:v>-3.6120643251753411E-2</c:v>
                </c:pt>
                <c:pt idx="671">
                  <c:v>-3.6104710604742359E-2</c:v>
                </c:pt>
                <c:pt idx="672">
                  <c:v>-3.6101896511055907E-2</c:v>
                </c:pt>
                <c:pt idx="673">
                  <c:v>-3.8873589615667774E-2</c:v>
                </c:pt>
                <c:pt idx="674">
                  <c:v>-4.0463734394857682E-2</c:v>
                </c:pt>
                <c:pt idx="675">
                  <c:v>-4.083238490402271E-2</c:v>
                </c:pt>
                <c:pt idx="676">
                  <c:v>-4.1514232488608985E-2</c:v>
                </c:pt>
                <c:pt idx="677">
                  <c:v>-4.6478153644858931E-2</c:v>
                </c:pt>
                <c:pt idx="678">
                  <c:v>-4.6518328416694274E-2</c:v>
                </c:pt>
                <c:pt idx="679">
                  <c:v>-4.6863607298064588E-2</c:v>
                </c:pt>
                <c:pt idx="680">
                  <c:v>-4.6849127046852991E-2</c:v>
                </c:pt>
                <c:pt idx="681">
                  <c:v>-4.6757320791664066E-2</c:v>
                </c:pt>
                <c:pt idx="682">
                  <c:v>-4.7116632947058944E-2</c:v>
                </c:pt>
                <c:pt idx="683">
                  <c:v>-4.7147536488396966E-2</c:v>
                </c:pt>
                <c:pt idx="684">
                  <c:v>-4.7200824616132779E-2</c:v>
                </c:pt>
                <c:pt idx="685">
                  <c:v>-4.7442509914745301E-2</c:v>
                </c:pt>
                <c:pt idx="686">
                  <c:v>-4.7558966121026863E-2</c:v>
                </c:pt>
                <c:pt idx="687">
                  <c:v>-4.7596563039830751E-2</c:v>
                </c:pt>
                <c:pt idx="688">
                  <c:v>-4.7595173162149854E-2</c:v>
                </c:pt>
                <c:pt idx="689">
                  <c:v>-4.7593227442928931E-2</c:v>
                </c:pt>
                <c:pt idx="690">
                  <c:v>-4.7469333187348715E-2</c:v>
                </c:pt>
                <c:pt idx="691">
                  <c:v>-4.7390289611284712E-2</c:v>
                </c:pt>
                <c:pt idx="692">
                  <c:v>-4.7381064276419721E-2</c:v>
                </c:pt>
                <c:pt idx="693">
                  <c:v>-4.7626508318590596E-2</c:v>
                </c:pt>
                <c:pt idx="694">
                  <c:v>-4.7108323862951003E-2</c:v>
                </c:pt>
                <c:pt idx="695">
                  <c:v>-4.7088667907607504E-2</c:v>
                </c:pt>
                <c:pt idx="696">
                  <c:v>-4.7118008428226318E-2</c:v>
                </c:pt>
                <c:pt idx="697">
                  <c:v>-4.7125689261017449E-2</c:v>
                </c:pt>
                <c:pt idx="698">
                  <c:v>-4.7109840637400091E-2</c:v>
                </c:pt>
                <c:pt idx="699">
                  <c:v>-4.7942297536277399E-2</c:v>
                </c:pt>
                <c:pt idx="700">
                  <c:v>-4.7897850393342725E-2</c:v>
                </c:pt>
                <c:pt idx="701">
                  <c:v>-4.7893259081962881E-2</c:v>
                </c:pt>
                <c:pt idx="702">
                  <c:v>-4.7867309005448604E-2</c:v>
                </c:pt>
                <c:pt idx="703">
                  <c:v>-4.7867709592788694E-2</c:v>
                </c:pt>
                <c:pt idx="704">
                  <c:v>-4.7901683570704699E-2</c:v>
                </c:pt>
                <c:pt idx="705">
                  <c:v>-4.7915047062214819E-2</c:v>
                </c:pt>
                <c:pt idx="706">
                  <c:v>-4.8031505837300044E-2</c:v>
                </c:pt>
                <c:pt idx="707">
                  <c:v>-4.8021111935272545E-2</c:v>
                </c:pt>
                <c:pt idx="708">
                  <c:v>-4.813274440757441E-2</c:v>
                </c:pt>
                <c:pt idx="709">
                  <c:v>-4.8211590831244051E-2</c:v>
                </c:pt>
                <c:pt idx="710">
                  <c:v>-4.8211735708829889E-2</c:v>
                </c:pt>
                <c:pt idx="711">
                  <c:v>-4.8212819266919768E-2</c:v>
                </c:pt>
                <c:pt idx="712">
                  <c:v>-4.8211256902630992E-2</c:v>
                </c:pt>
                <c:pt idx="713">
                  <c:v>-4.820969502021745E-2</c:v>
                </c:pt>
                <c:pt idx="714">
                  <c:v>-4.8204219219490259E-2</c:v>
                </c:pt>
                <c:pt idx="715">
                  <c:v>-4.8205052657258878E-2</c:v>
                </c:pt>
                <c:pt idx="716">
                  <c:v>-4.8219231906051853E-2</c:v>
                </c:pt>
                <c:pt idx="717">
                  <c:v>-4.8265722230576708E-2</c:v>
                </c:pt>
                <c:pt idx="718">
                  <c:v>-4.8266821822860434E-2</c:v>
                </c:pt>
                <c:pt idx="719">
                  <c:v>-4.8189014912393059E-2</c:v>
                </c:pt>
                <c:pt idx="720">
                  <c:v>-4.7154455587655172E-2</c:v>
                </c:pt>
                <c:pt idx="721">
                  <c:v>-4.6969784543201602E-2</c:v>
                </c:pt>
                <c:pt idx="722">
                  <c:v>-4.7004954659858829E-2</c:v>
                </c:pt>
                <c:pt idx="723">
                  <c:v>-4.7014880226711159E-2</c:v>
                </c:pt>
                <c:pt idx="724">
                  <c:v>-4.6968116178651986E-2</c:v>
                </c:pt>
                <c:pt idx="725">
                  <c:v>-4.6947806097331804E-2</c:v>
                </c:pt>
                <c:pt idx="726">
                  <c:v>-4.695757552332501E-2</c:v>
                </c:pt>
                <c:pt idx="727">
                  <c:v>-4.6934241646905975E-2</c:v>
                </c:pt>
                <c:pt idx="728">
                  <c:v>-4.6939746775717592E-2</c:v>
                </c:pt>
                <c:pt idx="729">
                  <c:v>-4.6944380311079038E-2</c:v>
                </c:pt>
                <c:pt idx="730">
                  <c:v>-4.6853560098911451E-2</c:v>
                </c:pt>
                <c:pt idx="731">
                  <c:v>-4.6849555668802431E-2</c:v>
                </c:pt>
                <c:pt idx="732">
                  <c:v>-4.6884037727935333E-2</c:v>
                </c:pt>
                <c:pt idx="733">
                  <c:v>-4.6730282882974539E-2</c:v>
                </c:pt>
                <c:pt idx="734">
                  <c:v>-4.6782704902817648E-2</c:v>
                </c:pt>
                <c:pt idx="735">
                  <c:v>-4.6781161766590619E-2</c:v>
                </c:pt>
                <c:pt idx="736">
                  <c:v>-4.6738307334688707E-2</c:v>
                </c:pt>
                <c:pt idx="737">
                  <c:v>-4.6727604212864475E-2</c:v>
                </c:pt>
                <c:pt idx="738">
                  <c:v>-4.6731225860042011E-2</c:v>
                </c:pt>
                <c:pt idx="739">
                  <c:v>-4.6656911269398353E-2</c:v>
                </c:pt>
                <c:pt idx="740">
                  <c:v>-4.653886692164011E-2</c:v>
                </c:pt>
                <c:pt idx="741">
                  <c:v>-4.6529982179081587E-2</c:v>
                </c:pt>
                <c:pt idx="742">
                  <c:v>-4.6464080566278841E-2</c:v>
                </c:pt>
                <c:pt idx="743">
                  <c:v>-4.6469844687845284E-2</c:v>
                </c:pt>
                <c:pt idx="744">
                  <c:v>-4.6320490880707305E-2</c:v>
                </c:pt>
                <c:pt idx="745">
                  <c:v>-4.6229883924556896E-2</c:v>
                </c:pt>
                <c:pt idx="746">
                  <c:v>-4.6239187331516877E-2</c:v>
                </c:pt>
                <c:pt idx="747">
                  <c:v>-4.6258521047671343E-2</c:v>
                </c:pt>
                <c:pt idx="748">
                  <c:v>-4.6253252190568216E-2</c:v>
                </c:pt>
                <c:pt idx="749">
                  <c:v>-4.6055292294551541E-2</c:v>
                </c:pt>
                <c:pt idx="750">
                  <c:v>-4.605005181955845E-2</c:v>
                </c:pt>
                <c:pt idx="751">
                  <c:v>-4.6049069231633662E-2</c:v>
                </c:pt>
                <c:pt idx="752">
                  <c:v>-4.6088421042085326E-2</c:v>
                </c:pt>
                <c:pt idx="753">
                  <c:v>-4.6112324866058568E-2</c:v>
                </c:pt>
                <c:pt idx="754">
                  <c:v>-4.6069873970564897E-2</c:v>
                </c:pt>
                <c:pt idx="755">
                  <c:v>-4.6152702409362742E-2</c:v>
                </c:pt>
                <c:pt idx="756">
                  <c:v>-4.6146763819305853E-2</c:v>
                </c:pt>
                <c:pt idx="757">
                  <c:v>-4.557489085483702E-2</c:v>
                </c:pt>
                <c:pt idx="758">
                  <c:v>-4.6135942658473532E-2</c:v>
                </c:pt>
                <c:pt idx="759">
                  <c:v>-4.6328496235808501E-2</c:v>
                </c:pt>
                <c:pt idx="760">
                  <c:v>-4.6664023888786405E-2</c:v>
                </c:pt>
                <c:pt idx="761">
                  <c:v>-4.6639691451626594E-2</c:v>
                </c:pt>
                <c:pt idx="762">
                  <c:v>-4.6654809714603007E-2</c:v>
                </c:pt>
                <c:pt idx="763">
                  <c:v>-4.6646065960022673E-2</c:v>
                </c:pt>
                <c:pt idx="764">
                  <c:v>-4.6646851588473974E-2</c:v>
                </c:pt>
                <c:pt idx="765">
                  <c:v>-4.6612443550259668E-2</c:v>
                </c:pt>
                <c:pt idx="766">
                  <c:v>-4.6606941817287278E-2</c:v>
                </c:pt>
                <c:pt idx="767">
                  <c:v>-4.660733020095343E-2</c:v>
                </c:pt>
                <c:pt idx="768">
                  <c:v>-4.6698729901119965E-2</c:v>
                </c:pt>
                <c:pt idx="769">
                  <c:v>-4.6704318668691479E-2</c:v>
                </c:pt>
                <c:pt idx="770">
                  <c:v>-4.6725115745596853E-2</c:v>
                </c:pt>
                <c:pt idx="771">
                  <c:v>-4.6702654872053252E-2</c:v>
                </c:pt>
                <c:pt idx="772">
                  <c:v>-4.6722633882231773E-2</c:v>
                </c:pt>
                <c:pt idx="773">
                  <c:v>-4.672548507145121E-2</c:v>
                </c:pt>
                <c:pt idx="774">
                  <c:v>-4.6732728996234887E-2</c:v>
                </c:pt>
                <c:pt idx="775">
                  <c:v>-4.6685549630725152E-2</c:v>
                </c:pt>
                <c:pt idx="776">
                  <c:v>-4.670849218105072E-2</c:v>
                </c:pt>
                <c:pt idx="777">
                  <c:v>-4.6851524776412967E-2</c:v>
                </c:pt>
                <c:pt idx="778">
                  <c:v>-4.6839025216799765E-2</c:v>
                </c:pt>
                <c:pt idx="779">
                  <c:v>-4.682912341815304E-2</c:v>
                </c:pt>
                <c:pt idx="780">
                  <c:v>-4.6831024788490959E-2</c:v>
                </c:pt>
                <c:pt idx="781">
                  <c:v>-4.6884880645261799E-2</c:v>
                </c:pt>
                <c:pt idx="782">
                  <c:v>-4.7133085188338281E-2</c:v>
                </c:pt>
                <c:pt idx="783">
                  <c:v>-4.7148723455648418E-2</c:v>
                </c:pt>
                <c:pt idx="784">
                  <c:v>-4.7217049291078422E-2</c:v>
                </c:pt>
                <c:pt idx="785">
                  <c:v>-4.7244082967801242E-2</c:v>
                </c:pt>
                <c:pt idx="786">
                  <c:v>-4.7064509146851792E-2</c:v>
                </c:pt>
                <c:pt idx="787">
                  <c:v>-4.7066034246939337E-2</c:v>
                </c:pt>
                <c:pt idx="788">
                  <c:v>-4.7001351308489703E-2</c:v>
                </c:pt>
                <c:pt idx="789">
                  <c:v>-4.6925674926771424E-2</c:v>
                </c:pt>
                <c:pt idx="790">
                  <c:v>-4.7326134629041637E-2</c:v>
                </c:pt>
                <c:pt idx="791">
                  <c:v>-4.7322174865622686E-2</c:v>
                </c:pt>
                <c:pt idx="792">
                  <c:v>-4.7337235160101021E-2</c:v>
                </c:pt>
                <c:pt idx="793">
                  <c:v>-4.7401454398407206E-2</c:v>
                </c:pt>
                <c:pt idx="794">
                  <c:v>-4.7404952791084823E-2</c:v>
                </c:pt>
                <c:pt idx="795">
                  <c:v>-4.7409501524796983E-2</c:v>
                </c:pt>
                <c:pt idx="796">
                  <c:v>-4.7296458441001471E-2</c:v>
                </c:pt>
                <c:pt idx="797">
                  <c:v>-4.7090780502727109E-2</c:v>
                </c:pt>
                <c:pt idx="798">
                  <c:v>-4.7098277613901653E-2</c:v>
                </c:pt>
                <c:pt idx="799">
                  <c:v>-4.7093386698773929E-2</c:v>
                </c:pt>
                <c:pt idx="800">
                  <c:v>-4.7096290636294488E-2</c:v>
                </c:pt>
                <c:pt idx="801">
                  <c:v>-4.6970774477938966E-2</c:v>
                </c:pt>
                <c:pt idx="802">
                  <c:v>-4.6905754922020475E-2</c:v>
                </c:pt>
                <c:pt idx="803">
                  <c:v>-4.6906568993903962E-2</c:v>
                </c:pt>
                <c:pt idx="804">
                  <c:v>-4.7196036603925559E-2</c:v>
                </c:pt>
                <c:pt idx="805">
                  <c:v>-4.7205465915936988E-2</c:v>
                </c:pt>
                <c:pt idx="806">
                  <c:v>-4.7146334902800013E-2</c:v>
                </c:pt>
                <c:pt idx="807">
                  <c:v>-4.7128435182862978E-2</c:v>
                </c:pt>
                <c:pt idx="808">
                  <c:v>-4.7123409455420803E-2</c:v>
                </c:pt>
                <c:pt idx="809">
                  <c:v>-4.720670019410609E-2</c:v>
                </c:pt>
                <c:pt idx="810">
                  <c:v>-4.7510934927737399E-2</c:v>
                </c:pt>
                <c:pt idx="811">
                  <c:v>-4.7503732387927239E-2</c:v>
                </c:pt>
                <c:pt idx="812">
                  <c:v>-4.7567619991282929E-2</c:v>
                </c:pt>
                <c:pt idx="813">
                  <c:v>-4.7457333134634773E-2</c:v>
                </c:pt>
                <c:pt idx="814">
                  <c:v>-4.7489266888296411E-2</c:v>
                </c:pt>
                <c:pt idx="815">
                  <c:v>-4.7597332292216118E-2</c:v>
                </c:pt>
                <c:pt idx="816">
                  <c:v>-4.7582895585411455E-2</c:v>
                </c:pt>
                <c:pt idx="817">
                  <c:v>-4.7583743646605905E-2</c:v>
                </c:pt>
                <c:pt idx="818">
                  <c:v>-4.7532266813730781E-2</c:v>
                </c:pt>
                <c:pt idx="819">
                  <c:v>-4.7453607212541264E-2</c:v>
                </c:pt>
                <c:pt idx="820">
                  <c:v>-4.7415200358576139E-2</c:v>
                </c:pt>
                <c:pt idx="821">
                  <c:v>-4.7411758602774808E-2</c:v>
                </c:pt>
                <c:pt idx="822">
                  <c:v>-4.7404410462975381E-2</c:v>
                </c:pt>
                <c:pt idx="823">
                  <c:v>-4.7401697482453452E-2</c:v>
                </c:pt>
                <c:pt idx="824">
                  <c:v>-4.7313134984435422E-2</c:v>
                </c:pt>
                <c:pt idx="825">
                  <c:v>-4.7315717650089011E-2</c:v>
                </c:pt>
                <c:pt idx="826">
                  <c:v>-4.7375107251373595E-2</c:v>
                </c:pt>
                <c:pt idx="827">
                  <c:v>-4.7387225131975651E-2</c:v>
                </c:pt>
                <c:pt idx="828">
                  <c:v>-4.7386608979159806E-2</c:v>
                </c:pt>
                <c:pt idx="829">
                  <c:v>-4.7350043820243146E-2</c:v>
                </c:pt>
                <c:pt idx="830">
                  <c:v>-4.7382267894131448E-2</c:v>
                </c:pt>
                <c:pt idx="831">
                  <c:v>-4.7345697986146414E-2</c:v>
                </c:pt>
                <c:pt idx="832">
                  <c:v>-4.7348485743182449E-2</c:v>
                </c:pt>
                <c:pt idx="833">
                  <c:v>-4.7366829387479728E-2</c:v>
                </c:pt>
                <c:pt idx="834">
                  <c:v>-4.7446320027388821E-2</c:v>
                </c:pt>
                <c:pt idx="835">
                  <c:v>-4.7494919891028185E-2</c:v>
                </c:pt>
                <c:pt idx="836">
                  <c:v>-4.7462820753125565E-2</c:v>
                </c:pt>
                <c:pt idx="837">
                  <c:v>-4.7446082054231731E-2</c:v>
                </c:pt>
                <c:pt idx="838">
                  <c:v>-4.7449349403898056E-2</c:v>
                </c:pt>
                <c:pt idx="839">
                  <c:v>-4.7476442135325765E-2</c:v>
                </c:pt>
                <c:pt idx="840">
                  <c:v>-4.7482391630728822E-2</c:v>
                </c:pt>
                <c:pt idx="841">
                  <c:v>-4.7463484199776994E-2</c:v>
                </c:pt>
                <c:pt idx="842">
                  <c:v>-4.7501022764260131E-2</c:v>
                </c:pt>
                <c:pt idx="843">
                  <c:v>-4.7513661685486611E-2</c:v>
                </c:pt>
                <c:pt idx="844">
                  <c:v>-4.7516454377747597E-2</c:v>
                </c:pt>
                <c:pt idx="845">
                  <c:v>-4.7463973015148486E-2</c:v>
                </c:pt>
                <c:pt idx="846">
                  <c:v>-4.746729060243797E-2</c:v>
                </c:pt>
                <c:pt idx="847">
                  <c:v>-4.7462245908229769E-2</c:v>
                </c:pt>
                <c:pt idx="848">
                  <c:v>-4.7455456970411071E-2</c:v>
                </c:pt>
                <c:pt idx="849">
                  <c:v>-4.7510755825889969E-2</c:v>
                </c:pt>
                <c:pt idx="850">
                  <c:v>-4.7482179115845673E-2</c:v>
                </c:pt>
                <c:pt idx="851">
                  <c:v>-4.7487354944283675E-2</c:v>
                </c:pt>
                <c:pt idx="852">
                  <c:v>-4.7376747198559187E-2</c:v>
                </c:pt>
                <c:pt idx="853">
                  <c:v>-4.7372550874275665E-2</c:v>
                </c:pt>
                <c:pt idx="854">
                  <c:v>-4.7319673282521194E-2</c:v>
                </c:pt>
                <c:pt idx="855">
                  <c:v>-4.7323269749514285E-2</c:v>
                </c:pt>
                <c:pt idx="856">
                  <c:v>-4.7300575860720749E-2</c:v>
                </c:pt>
                <c:pt idx="857">
                  <c:v>-4.729930306149472E-2</c:v>
                </c:pt>
                <c:pt idx="858">
                  <c:v>-4.7257064824989155E-2</c:v>
                </c:pt>
                <c:pt idx="859">
                  <c:v>-4.7215912973081517E-2</c:v>
                </c:pt>
                <c:pt idx="860">
                  <c:v>-4.7208562627892005E-2</c:v>
                </c:pt>
                <c:pt idx="861">
                  <c:v>-4.7043586330199096E-2</c:v>
                </c:pt>
                <c:pt idx="862">
                  <c:v>-4.7089791710010119E-2</c:v>
                </c:pt>
                <c:pt idx="863">
                  <c:v>-4.7162330603128244E-2</c:v>
                </c:pt>
                <c:pt idx="864">
                  <c:v>-4.7145491508939409E-2</c:v>
                </c:pt>
                <c:pt idx="865">
                  <c:v>-4.715118037967872E-2</c:v>
                </c:pt>
                <c:pt idx="866">
                  <c:v>-4.7010194681862662E-2</c:v>
                </c:pt>
                <c:pt idx="867">
                  <c:v>-4.6985254208492984E-2</c:v>
                </c:pt>
                <c:pt idx="868">
                  <c:v>-4.6980480892047226E-2</c:v>
                </c:pt>
                <c:pt idx="869">
                  <c:v>-4.6901251390471577E-2</c:v>
                </c:pt>
                <c:pt idx="870">
                  <c:v>-4.6509044356606785E-2</c:v>
                </c:pt>
                <c:pt idx="871">
                  <c:v>-4.6525313183967444E-2</c:v>
                </c:pt>
                <c:pt idx="872">
                  <c:v>-4.6568988105000292E-2</c:v>
                </c:pt>
                <c:pt idx="873">
                  <c:v>-4.6566093808698784E-2</c:v>
                </c:pt>
                <c:pt idx="874">
                  <c:v>-4.6567100446798598E-2</c:v>
                </c:pt>
                <c:pt idx="875">
                  <c:v>-4.6563293572313369E-2</c:v>
                </c:pt>
                <c:pt idx="876">
                  <c:v>-4.6535379399904979E-2</c:v>
                </c:pt>
                <c:pt idx="877">
                  <c:v>-4.6267274215354467E-2</c:v>
                </c:pt>
                <c:pt idx="878">
                  <c:v>-4.6275922172182238E-2</c:v>
                </c:pt>
                <c:pt idx="879">
                  <c:v>-4.6272793945039033E-2</c:v>
                </c:pt>
                <c:pt idx="880">
                  <c:v>-4.6265236969253158E-2</c:v>
                </c:pt>
                <c:pt idx="881">
                  <c:v>-4.6339361738368938E-2</c:v>
                </c:pt>
                <c:pt idx="882">
                  <c:v>-4.6245815848938082E-2</c:v>
                </c:pt>
                <c:pt idx="883">
                  <c:v>-4.639174385012635E-2</c:v>
                </c:pt>
                <c:pt idx="884">
                  <c:v>-4.6392101408444707E-2</c:v>
                </c:pt>
                <c:pt idx="885">
                  <c:v>-4.6257521347641842E-2</c:v>
                </c:pt>
                <c:pt idx="886">
                  <c:v>-4.6294310926750688E-2</c:v>
                </c:pt>
                <c:pt idx="887">
                  <c:v>-4.6195926577056318E-2</c:v>
                </c:pt>
                <c:pt idx="888">
                  <c:v>-4.6132570427724159E-2</c:v>
                </c:pt>
                <c:pt idx="889">
                  <c:v>-4.6675242087897272E-2</c:v>
                </c:pt>
                <c:pt idx="890">
                  <c:v>-4.6765584072129891E-2</c:v>
                </c:pt>
                <c:pt idx="891">
                  <c:v>-4.6987036197941097E-2</c:v>
                </c:pt>
                <c:pt idx="892">
                  <c:v>-4.6987129465415708E-2</c:v>
                </c:pt>
                <c:pt idx="893">
                  <c:v>-4.7033703555212886E-2</c:v>
                </c:pt>
                <c:pt idx="894">
                  <c:v>-4.7084849177997608E-2</c:v>
                </c:pt>
                <c:pt idx="895">
                  <c:v>-4.7083314366207087E-2</c:v>
                </c:pt>
                <c:pt idx="896">
                  <c:v>-4.7192538860520925E-2</c:v>
                </c:pt>
                <c:pt idx="897">
                  <c:v>-4.7025070322388243E-2</c:v>
                </c:pt>
                <c:pt idx="898">
                  <c:v>-4.6990061982807523E-2</c:v>
                </c:pt>
                <c:pt idx="899">
                  <c:v>-4.7164660683942802E-2</c:v>
                </c:pt>
                <c:pt idx="900">
                  <c:v>-4.7104137522539259E-2</c:v>
                </c:pt>
                <c:pt idx="901">
                  <c:v>-4.708848630067744E-2</c:v>
                </c:pt>
                <c:pt idx="902">
                  <c:v>-4.7094281524825331E-2</c:v>
                </c:pt>
                <c:pt idx="903">
                  <c:v>-4.7111275663060469E-2</c:v>
                </c:pt>
                <c:pt idx="904">
                  <c:v>-4.7085264050019469E-2</c:v>
                </c:pt>
                <c:pt idx="905">
                  <c:v>-4.6520468636380548E-2</c:v>
                </c:pt>
                <c:pt idx="906">
                  <c:v>-4.630799001110239E-2</c:v>
                </c:pt>
                <c:pt idx="907">
                  <c:v>-4.6228899756220701E-2</c:v>
                </c:pt>
                <c:pt idx="908">
                  <c:v>-4.6037684052507424E-2</c:v>
                </c:pt>
                <c:pt idx="909">
                  <c:v>-4.6092415717382221E-2</c:v>
                </c:pt>
                <c:pt idx="910">
                  <c:v>-4.6115614771899828E-2</c:v>
                </c:pt>
                <c:pt idx="911">
                  <c:v>-4.6110105682900158E-2</c:v>
                </c:pt>
                <c:pt idx="912">
                  <c:v>-4.6154073426311261E-2</c:v>
                </c:pt>
                <c:pt idx="913">
                  <c:v>-4.6150691862222905E-2</c:v>
                </c:pt>
                <c:pt idx="914">
                  <c:v>-4.6072909173036927E-2</c:v>
                </c:pt>
                <c:pt idx="915">
                  <c:v>-4.6088908889102373E-2</c:v>
                </c:pt>
                <c:pt idx="916">
                  <c:v>-4.6048547383719211E-2</c:v>
                </c:pt>
                <c:pt idx="917">
                  <c:v>-4.6025259943118006E-2</c:v>
                </c:pt>
                <c:pt idx="918">
                  <c:v>-4.6002208406699392E-2</c:v>
                </c:pt>
                <c:pt idx="919">
                  <c:v>-4.5890735530230257E-2</c:v>
                </c:pt>
                <c:pt idx="920">
                  <c:v>-4.5827831890165989E-2</c:v>
                </c:pt>
                <c:pt idx="921">
                  <c:v>-4.601083167661859E-2</c:v>
                </c:pt>
                <c:pt idx="922">
                  <c:v>-4.6019791635664269E-2</c:v>
                </c:pt>
                <c:pt idx="923">
                  <c:v>-4.3704958587367705E-2</c:v>
                </c:pt>
                <c:pt idx="924">
                  <c:v>-4.2240184371150777E-2</c:v>
                </c:pt>
                <c:pt idx="925">
                  <c:v>-4.1980538430850575E-2</c:v>
                </c:pt>
                <c:pt idx="926">
                  <c:v>-4.135873298806355E-2</c:v>
                </c:pt>
                <c:pt idx="927">
                  <c:v>-3.5740179689231953E-2</c:v>
                </c:pt>
                <c:pt idx="928">
                  <c:v>-3.5133211491925664E-2</c:v>
                </c:pt>
                <c:pt idx="929">
                  <c:v>-3.4680760351943202E-2</c:v>
                </c:pt>
                <c:pt idx="930">
                  <c:v>-3.4547257099453922E-2</c:v>
                </c:pt>
                <c:pt idx="931">
                  <c:v>-3.4788206136013272E-2</c:v>
                </c:pt>
                <c:pt idx="932">
                  <c:v>-3.4312349045634648E-2</c:v>
                </c:pt>
                <c:pt idx="933">
                  <c:v>-3.4449495627309971E-2</c:v>
                </c:pt>
                <c:pt idx="934">
                  <c:v>-3.433691979212674E-2</c:v>
                </c:pt>
                <c:pt idx="935">
                  <c:v>-3.4235659148407774E-2</c:v>
                </c:pt>
                <c:pt idx="936">
                  <c:v>-3.4264739436674053E-2</c:v>
                </c:pt>
                <c:pt idx="937">
                  <c:v>-3.4171600023800479E-2</c:v>
                </c:pt>
                <c:pt idx="938">
                  <c:v>-3.4198610191017685E-2</c:v>
                </c:pt>
                <c:pt idx="939">
                  <c:v>-3.4256303843922378E-2</c:v>
                </c:pt>
                <c:pt idx="940">
                  <c:v>-3.4286119559167674E-2</c:v>
                </c:pt>
                <c:pt idx="941">
                  <c:v>-3.4280716845593626E-2</c:v>
                </c:pt>
                <c:pt idx="942">
                  <c:v>-3.428172486120161E-2</c:v>
                </c:pt>
                <c:pt idx="943">
                  <c:v>-3.409427807328607E-2</c:v>
                </c:pt>
                <c:pt idx="944">
                  <c:v>-3.379570803495853E-2</c:v>
                </c:pt>
                <c:pt idx="945">
                  <c:v>-3.3989512820545909E-2</c:v>
                </c:pt>
                <c:pt idx="946">
                  <c:v>-3.3968851935811797E-2</c:v>
                </c:pt>
                <c:pt idx="947">
                  <c:v>-3.3962599913051512E-2</c:v>
                </c:pt>
                <c:pt idx="948">
                  <c:v>-3.406994363508227E-2</c:v>
                </c:pt>
                <c:pt idx="949">
                  <c:v>-3.2914658289821479E-2</c:v>
                </c:pt>
                <c:pt idx="950">
                  <c:v>-3.2900664604244706E-2</c:v>
                </c:pt>
                <c:pt idx="951">
                  <c:v>-3.2945398677666014E-2</c:v>
                </c:pt>
                <c:pt idx="952">
                  <c:v>-3.2939536447711366E-2</c:v>
                </c:pt>
                <c:pt idx="953">
                  <c:v>-3.2947234774334096E-2</c:v>
                </c:pt>
                <c:pt idx="954">
                  <c:v>-3.2918646536690577E-2</c:v>
                </c:pt>
                <c:pt idx="955">
                  <c:v>-3.2882638120170025E-2</c:v>
                </c:pt>
                <c:pt idx="956">
                  <c:v>-3.2706522640731275E-2</c:v>
                </c:pt>
                <c:pt idx="957">
                  <c:v>-3.2715383757367517E-2</c:v>
                </c:pt>
                <c:pt idx="958">
                  <c:v>-3.2401892914499526E-2</c:v>
                </c:pt>
                <c:pt idx="959">
                  <c:v>-3.2224940749563995E-2</c:v>
                </c:pt>
                <c:pt idx="960">
                  <c:v>-3.2238525544567437E-2</c:v>
                </c:pt>
                <c:pt idx="961">
                  <c:v>-3.2236998507423086E-2</c:v>
                </c:pt>
                <c:pt idx="962">
                  <c:v>-3.2238037868126422E-2</c:v>
                </c:pt>
                <c:pt idx="963">
                  <c:v>-3.2374935170661721E-2</c:v>
                </c:pt>
                <c:pt idx="964">
                  <c:v>-3.2604540927859992E-2</c:v>
                </c:pt>
                <c:pt idx="965">
                  <c:v>-3.270168797638507E-2</c:v>
                </c:pt>
                <c:pt idx="966">
                  <c:v>-3.2649562645739892E-2</c:v>
                </c:pt>
                <c:pt idx="967">
                  <c:v>-3.2647007283620286E-2</c:v>
                </c:pt>
                <c:pt idx="968">
                  <c:v>-3.2725771907101638E-2</c:v>
                </c:pt>
                <c:pt idx="969">
                  <c:v>-3.3211917161799699E-2</c:v>
                </c:pt>
                <c:pt idx="970">
                  <c:v>-3.3070416794700824E-2</c:v>
                </c:pt>
                <c:pt idx="971">
                  <c:v>-3.3119408026061864E-2</c:v>
                </c:pt>
                <c:pt idx="972">
                  <c:v>-3.3134727162683106E-2</c:v>
                </c:pt>
                <c:pt idx="973">
                  <c:v>-3.3199925637858251E-2</c:v>
                </c:pt>
                <c:pt idx="974">
                  <c:v>-3.3138326880895151E-2</c:v>
                </c:pt>
                <c:pt idx="975">
                  <c:v>-3.3188293522202005E-2</c:v>
                </c:pt>
                <c:pt idx="976">
                  <c:v>-3.3058152569109829E-2</c:v>
                </c:pt>
                <c:pt idx="977">
                  <c:v>-3.3065891105158611E-2</c:v>
                </c:pt>
                <c:pt idx="978">
                  <c:v>-3.3085026130522645E-2</c:v>
                </c:pt>
                <c:pt idx="979">
                  <c:v>-3.3088245838556657E-2</c:v>
                </c:pt>
                <c:pt idx="980">
                  <c:v>-3.442273971853152E-2</c:v>
                </c:pt>
                <c:pt idx="981">
                  <c:v>-3.4697109406208258E-2</c:v>
                </c:pt>
                <c:pt idx="982">
                  <c:v>-3.4609105952463061E-2</c:v>
                </c:pt>
                <c:pt idx="983">
                  <c:v>-3.476929906347976E-2</c:v>
                </c:pt>
                <c:pt idx="984">
                  <c:v>-3.4714587772573802E-2</c:v>
                </c:pt>
                <c:pt idx="985">
                  <c:v>-3.5362671942994174E-2</c:v>
                </c:pt>
                <c:pt idx="986">
                  <c:v>-3.5297040388164287E-2</c:v>
                </c:pt>
                <c:pt idx="987">
                  <c:v>-3.5316259448464296E-2</c:v>
                </c:pt>
                <c:pt idx="988">
                  <c:v>-3.5327647285584803E-2</c:v>
                </c:pt>
                <c:pt idx="989">
                  <c:v>-3.5338502671355278E-2</c:v>
                </c:pt>
                <c:pt idx="990">
                  <c:v>-3.5327268769178882E-2</c:v>
                </c:pt>
                <c:pt idx="991">
                  <c:v>-3.5275623633884742E-2</c:v>
                </c:pt>
                <c:pt idx="992">
                  <c:v>-3.5302811015432284E-2</c:v>
                </c:pt>
                <c:pt idx="993">
                  <c:v>-3.5733025508866777E-2</c:v>
                </c:pt>
                <c:pt idx="994">
                  <c:v>-3.5805191428563067E-2</c:v>
                </c:pt>
                <c:pt idx="995">
                  <c:v>-3.5801177674432916E-2</c:v>
                </c:pt>
                <c:pt idx="996">
                  <c:v>-3.5961919120563721E-2</c:v>
                </c:pt>
                <c:pt idx="997">
                  <c:v>-3.5946878746076626E-2</c:v>
                </c:pt>
                <c:pt idx="998">
                  <c:v>-3.5960766688276101E-2</c:v>
                </c:pt>
                <c:pt idx="999">
                  <c:v>-3.6022640928828065E-2</c:v>
                </c:pt>
                <c:pt idx="1000">
                  <c:v>-3.6349135342120149E-2</c:v>
                </c:pt>
                <c:pt idx="1001">
                  <c:v>-3.6377579439907097E-2</c:v>
                </c:pt>
                <c:pt idx="1002">
                  <c:v>-3.6327628096490927E-2</c:v>
                </c:pt>
                <c:pt idx="1003">
                  <c:v>-3.6297784055153354E-2</c:v>
                </c:pt>
                <c:pt idx="1004">
                  <c:v>-3.6395525589118363E-2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7F-824F-A737-77DBDA5DA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979519"/>
        <c:axId val="1373979071"/>
      </c:lineChart>
      <c:dateAx>
        <c:axId val="137397951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373979071"/>
        <c:crosses val="autoZero"/>
        <c:auto val="1"/>
        <c:lblOffset val="100"/>
        <c:baseTimeUnit val="days"/>
      </c:dateAx>
      <c:valAx>
        <c:axId val="13739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37397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2</xdr:row>
      <xdr:rowOff>12700</xdr:rowOff>
    </xdr:from>
    <xdr:to>
      <xdr:col>15</xdr:col>
      <xdr:colOff>723900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E9679A-D764-A03E-99BA-5CBCE86AD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us_d" connectionId="1" xr16:uid="{816F1CFA-1F55-EC48-9A88-EE679246776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588C-16D0-7D4C-BC29-BAC173B427F2}">
  <dimension ref="A1:M1256"/>
  <sheetViews>
    <sheetView workbookViewId="0">
      <pane ySplit="1" topLeftCell="A2" activePane="bottomLeft" state="frozen"/>
      <selection pane="bottomLeft" activeCell="K26" sqref="K26"/>
    </sheetView>
  </sheetViews>
  <sheetFormatPr baseColWidth="10" defaultRowHeight="16" x14ac:dyDescent="0.2"/>
  <cols>
    <col min="1" max="1" width="10.1640625" bestFit="1" customWidth="1"/>
    <col min="2" max="2" width="18.5" bestFit="1" customWidth="1"/>
    <col min="3" max="3" width="14.1640625" customWidth="1"/>
    <col min="4" max="4" width="23.1640625" bestFit="1" customWidth="1"/>
    <col min="5" max="5" width="17.1640625" bestFit="1" customWidth="1"/>
    <col min="6" max="6" width="17.6640625" bestFit="1" customWidth="1"/>
    <col min="7" max="8" width="23.1640625" bestFit="1" customWidth="1"/>
    <col min="11" max="11" width="25.6640625" bestFit="1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27</v>
      </c>
      <c r="E1" s="2" t="s">
        <v>28</v>
      </c>
      <c r="F1" s="2" t="s">
        <v>29</v>
      </c>
      <c r="G1" s="2" t="s">
        <v>31</v>
      </c>
      <c r="H1" s="2" t="s">
        <v>32</v>
      </c>
    </row>
    <row r="2" spans="1:13" x14ac:dyDescent="0.2">
      <c r="A2" s="1">
        <v>44407</v>
      </c>
      <c r="B2">
        <v>142.309</v>
      </c>
      <c r="C2" s="8" t="s">
        <v>30</v>
      </c>
      <c r="D2" s="8" t="s">
        <v>30</v>
      </c>
      <c r="E2" s="8" t="s">
        <v>30</v>
      </c>
      <c r="F2" s="8" t="s">
        <v>30</v>
      </c>
      <c r="G2" s="8" t="s">
        <v>30</v>
      </c>
      <c r="H2" s="8" t="s">
        <v>30</v>
      </c>
      <c r="K2" s="11" t="s">
        <v>10</v>
      </c>
      <c r="L2" s="11"/>
      <c r="M2" s="11"/>
    </row>
    <row r="3" spans="1:13" x14ac:dyDescent="0.2">
      <c r="A3" s="1">
        <v>44410</v>
      </c>
      <c r="B3">
        <v>141.983</v>
      </c>
      <c r="C3">
        <f t="shared" ref="C3:C66" si="0">LN(B3/B2)</f>
        <v>-2.2934176332098659E-3</v>
      </c>
      <c r="D3" s="8" t="s">
        <v>30</v>
      </c>
      <c r="E3" s="8" t="s">
        <v>30</v>
      </c>
      <c r="F3" s="8" t="s">
        <v>30</v>
      </c>
      <c r="G3" s="8" t="s">
        <v>30</v>
      </c>
      <c r="H3" s="8" t="s">
        <v>30</v>
      </c>
      <c r="K3" s="3" t="s">
        <v>3</v>
      </c>
      <c r="L3" s="4">
        <v>0.95</v>
      </c>
      <c r="M3" s="5">
        <v>0.99</v>
      </c>
    </row>
    <row r="4" spans="1:13" x14ac:dyDescent="0.2">
      <c r="A4" s="1">
        <v>44411</v>
      </c>
      <c r="B4">
        <v>143.77000000000001</v>
      </c>
      <c r="C4">
        <f t="shared" si="0"/>
        <v>1.2507468309908508E-2</v>
      </c>
      <c r="D4" s="8" t="s">
        <v>30</v>
      </c>
      <c r="E4" s="8" t="s">
        <v>30</v>
      </c>
      <c r="F4" s="8" t="s">
        <v>30</v>
      </c>
      <c r="G4" s="8" t="s">
        <v>30</v>
      </c>
      <c r="H4" s="8" t="s">
        <v>30</v>
      </c>
      <c r="K4" s="3" t="s">
        <v>4</v>
      </c>
      <c r="L4" s="4">
        <f>_xlfn.PERCENTILE.INC(C3:C1256,1-L3)</f>
        <v>-2.7558929652889544E-2</v>
      </c>
      <c r="M4" s="5">
        <f>_xlfn.PERCENTILE.INC(C3:C1256,1-M3)</f>
        <v>-4.8560135177057123E-2</v>
      </c>
    </row>
    <row r="5" spans="1:13" x14ac:dyDescent="0.2">
      <c r="A5" s="1">
        <v>44412</v>
      </c>
      <c r="B5">
        <v>143.375</v>
      </c>
      <c r="C5">
        <f t="shared" si="0"/>
        <v>-2.7512249849664557E-3</v>
      </c>
      <c r="D5" s="8" t="s">
        <v>30</v>
      </c>
      <c r="E5" s="8" t="s">
        <v>30</v>
      </c>
      <c r="F5" s="8" t="s">
        <v>30</v>
      </c>
      <c r="G5" s="8" t="s">
        <v>30</v>
      </c>
      <c r="H5" s="8" t="s">
        <v>30</v>
      </c>
      <c r="K5" s="3" t="s">
        <v>5</v>
      </c>
      <c r="L5" s="4">
        <f>-L4</f>
        <v>2.7558929652889544E-2</v>
      </c>
      <c r="M5" s="5">
        <f>-M4</f>
        <v>4.8560135177057123E-2</v>
      </c>
    </row>
    <row r="6" spans="1:13" x14ac:dyDescent="0.2">
      <c r="A6" s="1">
        <v>44413</v>
      </c>
      <c r="B6">
        <v>143.48500000000001</v>
      </c>
      <c r="C6">
        <f t="shared" si="0"/>
        <v>7.6692466981534869E-4</v>
      </c>
      <c r="D6" s="8" t="s">
        <v>30</v>
      </c>
      <c r="E6" s="8" t="s">
        <v>30</v>
      </c>
      <c r="F6" s="8" t="s">
        <v>30</v>
      </c>
      <c r="G6" s="8" t="s">
        <v>30</v>
      </c>
      <c r="H6" s="8" t="s">
        <v>30</v>
      </c>
      <c r="K6" s="3" t="s">
        <v>6</v>
      </c>
      <c r="L6" s="4">
        <v>1000000</v>
      </c>
      <c r="M6" s="5">
        <v>1000000</v>
      </c>
    </row>
    <row r="7" spans="1:13" x14ac:dyDescent="0.2">
      <c r="A7" s="1">
        <v>44414</v>
      </c>
      <c r="B7">
        <v>142.797</v>
      </c>
      <c r="C7">
        <f t="shared" si="0"/>
        <v>-4.8064588379070246E-3</v>
      </c>
      <c r="D7" s="8" t="s">
        <v>30</v>
      </c>
      <c r="E7" s="8" t="s">
        <v>30</v>
      </c>
      <c r="F7" s="8" t="s">
        <v>30</v>
      </c>
      <c r="G7" s="8" t="s">
        <v>30</v>
      </c>
      <c r="H7" s="8" t="s">
        <v>30</v>
      </c>
      <c r="K7" s="3" t="s">
        <v>7</v>
      </c>
      <c r="L7" s="4">
        <f>L5*L6</f>
        <v>27558.929652889543</v>
      </c>
      <c r="M7" s="5">
        <f>M5*M6</f>
        <v>48560.13517705712</v>
      </c>
    </row>
    <row r="8" spans="1:13" x14ac:dyDescent="0.2">
      <c r="A8" s="1">
        <v>44417</v>
      </c>
      <c r="B8">
        <v>142.74700000000001</v>
      </c>
      <c r="C8">
        <f t="shared" si="0"/>
        <v>-3.5020872797898614E-4</v>
      </c>
      <c r="D8" s="8" t="s">
        <v>30</v>
      </c>
      <c r="E8" s="8" t="s">
        <v>30</v>
      </c>
      <c r="F8" s="8" t="s">
        <v>30</v>
      </c>
      <c r="G8" s="8" t="s">
        <v>30</v>
      </c>
      <c r="H8" s="8" t="s">
        <v>30</v>
      </c>
    </row>
    <row r="9" spans="1:13" x14ac:dyDescent="0.2">
      <c r="A9" s="1">
        <v>44418</v>
      </c>
      <c r="B9">
        <v>142.28</v>
      </c>
      <c r="C9">
        <f t="shared" si="0"/>
        <v>-3.2768854732096258E-3</v>
      </c>
      <c r="D9" s="8" t="s">
        <v>30</v>
      </c>
      <c r="E9" s="8" t="s">
        <v>30</v>
      </c>
      <c r="F9" s="8" t="s">
        <v>30</v>
      </c>
      <c r="G9" s="8" t="s">
        <v>30</v>
      </c>
      <c r="H9" s="8" t="s">
        <v>30</v>
      </c>
    </row>
    <row r="10" spans="1:13" x14ac:dyDescent="0.2">
      <c r="A10" s="1">
        <v>44419</v>
      </c>
      <c r="B10">
        <v>142.523</v>
      </c>
      <c r="C10">
        <f t="shared" si="0"/>
        <v>1.706443113077749E-3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K10" s="11" t="s">
        <v>11</v>
      </c>
      <c r="L10" s="11"/>
      <c r="M10" s="11"/>
    </row>
    <row r="11" spans="1:13" x14ac:dyDescent="0.2">
      <c r="A11" s="1">
        <v>44420</v>
      </c>
      <c r="B11">
        <v>145.477</v>
      </c>
      <c r="C11">
        <f t="shared" si="0"/>
        <v>2.0514608321575853E-2</v>
      </c>
      <c r="D11" s="8" t="s">
        <v>30</v>
      </c>
      <c r="E11" s="8" t="s">
        <v>30</v>
      </c>
      <c r="F11" s="8" t="s">
        <v>30</v>
      </c>
      <c r="G11" s="8" t="s">
        <v>30</v>
      </c>
      <c r="H11" s="8" t="s">
        <v>30</v>
      </c>
      <c r="K11" s="2" t="s">
        <v>3</v>
      </c>
      <c r="L11" s="4">
        <v>0.95</v>
      </c>
      <c r="M11" s="4">
        <v>0.99</v>
      </c>
    </row>
    <row r="12" spans="1:13" x14ac:dyDescent="0.2">
      <c r="A12" s="1">
        <v>44421</v>
      </c>
      <c r="B12">
        <v>145.68100000000001</v>
      </c>
      <c r="C12">
        <f t="shared" si="0"/>
        <v>1.4013012411265393E-3</v>
      </c>
      <c r="D12" s="8" t="s">
        <v>30</v>
      </c>
      <c r="E12" s="8" t="s">
        <v>30</v>
      </c>
      <c r="F12" s="8" t="s">
        <v>30</v>
      </c>
      <c r="G12" s="8" t="s">
        <v>30</v>
      </c>
      <c r="H12" s="8" t="s">
        <v>30</v>
      </c>
      <c r="K12" s="2" t="s">
        <v>8</v>
      </c>
      <c r="L12" s="4">
        <f>AVERAGE(C3:C1256)</f>
        <v>6.7568973343049346E-4</v>
      </c>
      <c r="M12" s="4">
        <f>L12</f>
        <v>6.7568973343049346E-4</v>
      </c>
    </row>
    <row r="13" spans="1:13" x14ac:dyDescent="0.2">
      <c r="A13" s="1">
        <v>44424</v>
      </c>
      <c r="B13">
        <v>147.66399999999999</v>
      </c>
      <c r="C13">
        <f t="shared" si="0"/>
        <v>1.3520122767186185E-2</v>
      </c>
      <c r="D13" s="8" t="s">
        <v>30</v>
      </c>
      <c r="E13" s="8" t="s">
        <v>30</v>
      </c>
      <c r="F13" s="8" t="s">
        <v>30</v>
      </c>
      <c r="G13" s="8" t="s">
        <v>30</v>
      </c>
      <c r="H13" s="8" t="s">
        <v>30</v>
      </c>
      <c r="K13" s="2" t="s">
        <v>9</v>
      </c>
      <c r="L13" s="4">
        <f>_xlfn.STDEV.S(C3:C1256)</f>
        <v>1.7475988530590535E-2</v>
      </c>
      <c r="M13" s="4">
        <f>L13</f>
        <v>1.7475988530590535E-2</v>
      </c>
    </row>
    <row r="14" spans="1:13" x14ac:dyDescent="0.2">
      <c r="A14" s="1">
        <v>44425</v>
      </c>
      <c r="B14">
        <v>146.75399999999999</v>
      </c>
      <c r="C14">
        <f t="shared" si="0"/>
        <v>-6.1817069462824026E-3</v>
      </c>
      <c r="D14" s="8" t="s">
        <v>30</v>
      </c>
      <c r="E14" s="8" t="s">
        <v>30</v>
      </c>
      <c r="F14" s="8" t="s">
        <v>30</v>
      </c>
      <c r="G14" s="8" t="s">
        <v>30</v>
      </c>
      <c r="H14" s="8" t="s">
        <v>30</v>
      </c>
      <c r="K14" s="2" t="s">
        <v>12</v>
      </c>
      <c r="L14" s="4">
        <f>_xlfn.NORM.S.INV(L11)</f>
        <v>1.6448536269514715</v>
      </c>
      <c r="M14" s="4">
        <f>_xlfn.NORM.S.INV(M11)</f>
        <v>2.3263478740408408</v>
      </c>
    </row>
    <row r="15" spans="1:13" x14ac:dyDescent="0.2">
      <c r="A15" s="1">
        <v>44426</v>
      </c>
      <c r="B15">
        <v>143.01400000000001</v>
      </c>
      <c r="C15">
        <f t="shared" si="0"/>
        <v>-2.5815188011226519E-2</v>
      </c>
      <c r="D15" s="8" t="s">
        <v>30</v>
      </c>
      <c r="E15" s="8" t="s">
        <v>30</v>
      </c>
      <c r="F15" s="8" t="s">
        <v>30</v>
      </c>
      <c r="G15" s="8" t="s">
        <v>30</v>
      </c>
      <c r="H15" s="8" t="s">
        <v>30</v>
      </c>
      <c r="K15" s="2" t="s">
        <v>13</v>
      </c>
      <c r="L15" s="4">
        <f>L14*L13-L12</f>
        <v>2.8069753385673666E-2</v>
      </c>
      <c r="M15" s="4">
        <f>M14*M13-M12</f>
        <v>3.9979539031470918E-2</v>
      </c>
    </row>
    <row r="16" spans="1:13" x14ac:dyDescent="0.2">
      <c r="A16" s="1">
        <v>44427</v>
      </c>
      <c r="B16">
        <v>143.345</v>
      </c>
      <c r="C16">
        <f t="shared" si="0"/>
        <v>2.3117844902021847E-3</v>
      </c>
      <c r="D16" s="8" t="s">
        <v>30</v>
      </c>
      <c r="E16" s="8" t="s">
        <v>30</v>
      </c>
      <c r="F16" s="8" t="s">
        <v>30</v>
      </c>
      <c r="G16" s="8" t="s">
        <v>30</v>
      </c>
      <c r="H16" s="8" t="s">
        <v>30</v>
      </c>
      <c r="K16" s="2" t="s">
        <v>6</v>
      </c>
      <c r="L16" s="4">
        <v>1000000</v>
      </c>
      <c r="M16" s="4">
        <v>1000000</v>
      </c>
    </row>
    <row r="17" spans="1:13" x14ac:dyDescent="0.2">
      <c r="A17" s="1">
        <v>44428</v>
      </c>
      <c r="B17">
        <v>144.79</v>
      </c>
      <c r="C17">
        <f t="shared" si="0"/>
        <v>1.0030104737416395E-2</v>
      </c>
      <c r="D17" s="8" t="s">
        <v>30</v>
      </c>
      <c r="E17" s="8" t="s">
        <v>30</v>
      </c>
      <c r="F17" s="8" t="s">
        <v>30</v>
      </c>
      <c r="G17" s="8" t="s">
        <v>30</v>
      </c>
      <c r="H17" s="8" t="s">
        <v>30</v>
      </c>
      <c r="K17" s="2" t="s">
        <v>14</v>
      </c>
      <c r="L17" s="4">
        <f>L15*L16</f>
        <v>28069.753385673666</v>
      </c>
      <c r="M17" s="4">
        <f>M15*M16</f>
        <v>39979.539031470915</v>
      </c>
    </row>
    <row r="18" spans="1:13" x14ac:dyDescent="0.2">
      <c r="A18" s="1">
        <v>44431</v>
      </c>
      <c r="B18">
        <v>146.28</v>
      </c>
      <c r="C18">
        <f t="shared" si="0"/>
        <v>1.023817648785012E-2</v>
      </c>
      <c r="D18" s="8" t="s">
        <v>30</v>
      </c>
      <c r="E18" s="8" t="s">
        <v>30</v>
      </c>
      <c r="F18" s="8" t="s">
        <v>30</v>
      </c>
      <c r="G18" s="8" t="s">
        <v>30</v>
      </c>
      <c r="H18" s="8" t="s">
        <v>30</v>
      </c>
    </row>
    <row r="19" spans="1:13" x14ac:dyDescent="0.2">
      <c r="A19" s="1">
        <v>44432</v>
      </c>
      <c r="B19">
        <v>146.19300000000001</v>
      </c>
      <c r="C19">
        <f t="shared" si="0"/>
        <v>-5.9492672873079431E-4</v>
      </c>
      <c r="D19" s="8" t="s">
        <v>30</v>
      </c>
      <c r="E19" s="8" t="s">
        <v>30</v>
      </c>
      <c r="F19" s="8" t="s">
        <v>30</v>
      </c>
      <c r="G19" s="8" t="s">
        <v>30</v>
      </c>
      <c r="H19" s="8" t="s">
        <v>30</v>
      </c>
    </row>
    <row r="20" spans="1:13" x14ac:dyDescent="0.2">
      <c r="A20" s="1">
        <v>44433</v>
      </c>
      <c r="B20">
        <v>144.95500000000001</v>
      </c>
      <c r="C20">
        <f t="shared" si="0"/>
        <v>-8.5043171263832467E-3</v>
      </c>
      <c r="D20" s="8" t="s">
        <v>30</v>
      </c>
      <c r="E20" s="8" t="s">
        <v>30</v>
      </c>
      <c r="F20" s="8" t="s">
        <v>30</v>
      </c>
      <c r="G20" s="8" t="s">
        <v>30</v>
      </c>
      <c r="H20" s="8" t="s">
        <v>30</v>
      </c>
    </row>
    <row r="21" spans="1:13" x14ac:dyDescent="0.2">
      <c r="A21" s="1">
        <v>44434</v>
      </c>
      <c r="B21">
        <v>144.15100000000001</v>
      </c>
      <c r="C21">
        <f t="shared" si="0"/>
        <v>-5.5619881475420796E-3</v>
      </c>
      <c r="D21" s="8" t="s">
        <v>30</v>
      </c>
      <c r="E21" s="8" t="s">
        <v>30</v>
      </c>
      <c r="F21" s="8" t="s">
        <v>30</v>
      </c>
      <c r="G21" s="8" t="s">
        <v>30</v>
      </c>
      <c r="H21" s="8" t="s">
        <v>30</v>
      </c>
    </row>
    <row r="22" spans="1:13" x14ac:dyDescent="0.2">
      <c r="A22" s="1">
        <v>44435</v>
      </c>
      <c r="B22">
        <v>145.19300000000001</v>
      </c>
      <c r="C22">
        <f t="shared" si="0"/>
        <v>7.2025305836713937E-3</v>
      </c>
      <c r="D22" s="8" t="s">
        <v>30</v>
      </c>
      <c r="E22" s="8" t="s">
        <v>30</v>
      </c>
      <c r="F22" s="8" t="s">
        <v>30</v>
      </c>
      <c r="G22" s="8" t="s">
        <v>30</v>
      </c>
      <c r="H22" s="8" t="s">
        <v>30</v>
      </c>
    </row>
    <row r="23" spans="1:13" x14ac:dyDescent="0.2">
      <c r="A23" s="1">
        <v>44438</v>
      </c>
      <c r="B23">
        <v>149.626</v>
      </c>
      <c r="C23">
        <f t="shared" si="0"/>
        <v>3.0074955368712252E-2</v>
      </c>
      <c r="D23" s="8" t="s">
        <v>30</v>
      </c>
      <c r="E23" s="8" t="s">
        <v>30</v>
      </c>
      <c r="F23" s="8" t="s">
        <v>30</v>
      </c>
      <c r="G23" s="8" t="s">
        <v>30</v>
      </c>
      <c r="H23" s="8" t="s">
        <v>30</v>
      </c>
    </row>
    <row r="24" spans="1:13" x14ac:dyDescent="0.2">
      <c r="A24" s="1">
        <v>44439</v>
      </c>
      <c r="B24">
        <v>148.36000000000001</v>
      </c>
      <c r="C24">
        <f t="shared" si="0"/>
        <v>-8.4970946095178947E-3</v>
      </c>
      <c r="D24" s="8" t="s">
        <v>30</v>
      </c>
      <c r="E24" s="8" t="s">
        <v>30</v>
      </c>
      <c r="F24" s="8" t="s">
        <v>30</v>
      </c>
      <c r="G24" s="8" t="s">
        <v>30</v>
      </c>
      <c r="H24" s="8" t="s">
        <v>30</v>
      </c>
    </row>
    <row r="25" spans="1:13" x14ac:dyDescent="0.2">
      <c r="A25" s="1">
        <v>44440</v>
      </c>
      <c r="B25">
        <v>149.02699999999999</v>
      </c>
      <c r="C25">
        <f t="shared" si="0"/>
        <v>4.4857449615640279E-3</v>
      </c>
      <c r="D25" s="8" t="s">
        <v>30</v>
      </c>
      <c r="E25" s="8" t="s">
        <v>30</v>
      </c>
      <c r="F25" s="8" t="s">
        <v>30</v>
      </c>
      <c r="G25" s="8" t="s">
        <v>30</v>
      </c>
      <c r="H25" s="8" t="s">
        <v>30</v>
      </c>
    </row>
    <row r="26" spans="1:13" x14ac:dyDescent="0.2">
      <c r="A26" s="1">
        <v>44441</v>
      </c>
      <c r="B26">
        <v>150.13800000000001</v>
      </c>
      <c r="C26">
        <f t="shared" si="0"/>
        <v>7.4273735726854877E-3</v>
      </c>
      <c r="D26" s="8" t="s">
        <v>30</v>
      </c>
      <c r="E26" s="8" t="s">
        <v>30</v>
      </c>
      <c r="F26" s="8" t="s">
        <v>30</v>
      </c>
      <c r="G26" s="8" t="s">
        <v>30</v>
      </c>
      <c r="H26" s="8" t="s">
        <v>30</v>
      </c>
    </row>
    <row r="27" spans="1:13" x14ac:dyDescent="0.2">
      <c r="A27" s="1">
        <v>44442</v>
      </c>
      <c r="B27">
        <v>150.76599999999999</v>
      </c>
      <c r="C27">
        <f t="shared" si="0"/>
        <v>4.1740948063628963E-3</v>
      </c>
      <c r="D27" s="8" t="s">
        <v>30</v>
      </c>
      <c r="E27" s="8" t="s">
        <v>30</v>
      </c>
      <c r="F27" s="8" t="s">
        <v>30</v>
      </c>
      <c r="G27" s="8" t="s">
        <v>30</v>
      </c>
      <c r="H27" s="8" t="s">
        <v>30</v>
      </c>
    </row>
    <row r="28" spans="1:13" x14ac:dyDescent="0.2">
      <c r="A28" s="1">
        <v>44446</v>
      </c>
      <c r="B28">
        <v>153.102</v>
      </c>
      <c r="C28">
        <f t="shared" si="0"/>
        <v>1.5375399973593558E-2</v>
      </c>
      <c r="D28" s="8" t="s">
        <v>30</v>
      </c>
      <c r="E28" s="8" t="s">
        <v>30</v>
      </c>
      <c r="F28" s="8" t="s">
        <v>30</v>
      </c>
      <c r="G28" s="8" t="s">
        <v>30</v>
      </c>
      <c r="H28" s="8" t="s">
        <v>30</v>
      </c>
    </row>
    <row r="29" spans="1:13" x14ac:dyDescent="0.2">
      <c r="A29" s="1">
        <v>44447</v>
      </c>
      <c r="B29">
        <v>151.55099999999999</v>
      </c>
      <c r="C29">
        <f t="shared" si="0"/>
        <v>-1.0182163971204753E-2</v>
      </c>
      <c r="D29" s="8" t="s">
        <v>30</v>
      </c>
      <c r="E29" s="8" t="s">
        <v>30</v>
      </c>
      <c r="F29" s="8" t="s">
        <v>30</v>
      </c>
      <c r="G29" s="8" t="s">
        <v>30</v>
      </c>
      <c r="H29" s="8" t="s">
        <v>30</v>
      </c>
    </row>
    <row r="30" spans="1:13" x14ac:dyDescent="0.2">
      <c r="A30" s="1">
        <v>44448</v>
      </c>
      <c r="B30">
        <v>150.53899999999999</v>
      </c>
      <c r="C30">
        <f t="shared" si="0"/>
        <v>-6.7000151328253038E-3</v>
      </c>
      <c r="D30" s="8" t="s">
        <v>30</v>
      </c>
      <c r="E30" s="8" t="s">
        <v>30</v>
      </c>
      <c r="F30" s="8" t="s">
        <v>30</v>
      </c>
      <c r="G30" s="8" t="s">
        <v>30</v>
      </c>
      <c r="H30" s="8" t="s">
        <v>30</v>
      </c>
    </row>
    <row r="31" spans="1:13" x14ac:dyDescent="0.2">
      <c r="A31" s="1">
        <v>44449</v>
      </c>
      <c r="B31">
        <v>145.55500000000001</v>
      </c>
      <c r="C31">
        <f t="shared" si="0"/>
        <v>-3.3668164773765177E-2</v>
      </c>
      <c r="D31" s="8" t="s">
        <v>30</v>
      </c>
      <c r="E31" s="8" t="s">
        <v>30</v>
      </c>
      <c r="F31" s="8" t="s">
        <v>30</v>
      </c>
      <c r="G31" s="8" t="s">
        <v>30</v>
      </c>
      <c r="H31" s="8" t="s">
        <v>30</v>
      </c>
    </row>
    <row r="32" spans="1:13" x14ac:dyDescent="0.2">
      <c r="A32" s="1">
        <v>44452</v>
      </c>
      <c r="B32">
        <v>146.12299999999999</v>
      </c>
      <c r="C32">
        <f t="shared" si="0"/>
        <v>3.8947107288744374E-3</v>
      </c>
      <c r="D32" s="8" t="s">
        <v>30</v>
      </c>
      <c r="E32" s="8" t="s">
        <v>30</v>
      </c>
      <c r="F32" s="8" t="s">
        <v>30</v>
      </c>
      <c r="G32" s="8" t="s">
        <v>30</v>
      </c>
      <c r="H32" s="8" t="s">
        <v>30</v>
      </c>
    </row>
    <row r="33" spans="1:8" x14ac:dyDescent="0.2">
      <c r="A33" s="1">
        <v>44453</v>
      </c>
      <c r="B33">
        <v>144.72</v>
      </c>
      <c r="C33">
        <f t="shared" si="0"/>
        <v>-9.6478916996355999E-3</v>
      </c>
      <c r="D33" s="8" t="s">
        <v>30</v>
      </c>
      <c r="E33" s="8" t="s">
        <v>30</v>
      </c>
      <c r="F33" s="8" t="s">
        <v>30</v>
      </c>
      <c r="G33" s="8" t="s">
        <v>30</v>
      </c>
      <c r="H33" s="8" t="s">
        <v>30</v>
      </c>
    </row>
    <row r="34" spans="1:8" x14ac:dyDescent="0.2">
      <c r="A34" s="1">
        <v>44454</v>
      </c>
      <c r="B34">
        <v>145.61199999999999</v>
      </c>
      <c r="C34">
        <f t="shared" si="0"/>
        <v>6.1447088618210161E-3</v>
      </c>
      <c r="D34" s="8" t="s">
        <v>30</v>
      </c>
      <c r="E34" s="8" t="s">
        <v>30</v>
      </c>
      <c r="F34" s="8" t="s">
        <v>30</v>
      </c>
      <c r="G34" s="8" t="s">
        <v>30</v>
      </c>
      <c r="H34" s="8" t="s">
        <v>30</v>
      </c>
    </row>
    <row r="35" spans="1:8" x14ac:dyDescent="0.2">
      <c r="A35" s="1">
        <v>44455</v>
      </c>
      <c r="B35">
        <v>145.37700000000001</v>
      </c>
      <c r="C35">
        <f t="shared" si="0"/>
        <v>-1.6151816810203237E-3</v>
      </c>
      <c r="D35" s="8" t="s">
        <v>30</v>
      </c>
      <c r="E35" s="8" t="s">
        <v>30</v>
      </c>
      <c r="F35" s="8" t="s">
        <v>30</v>
      </c>
      <c r="G35" s="8" t="s">
        <v>30</v>
      </c>
      <c r="H35" s="8" t="s">
        <v>30</v>
      </c>
    </row>
    <row r="36" spans="1:8" x14ac:dyDescent="0.2">
      <c r="A36" s="1">
        <v>44456</v>
      </c>
      <c r="B36">
        <v>142.71799999999999</v>
      </c>
      <c r="C36">
        <f t="shared" si="0"/>
        <v>-1.8459712987245368E-2</v>
      </c>
      <c r="D36" s="8" t="s">
        <v>30</v>
      </c>
      <c r="E36" s="8" t="s">
        <v>30</v>
      </c>
      <c r="F36" s="8" t="s">
        <v>30</v>
      </c>
      <c r="G36" s="8" t="s">
        <v>30</v>
      </c>
      <c r="H36" s="8" t="s">
        <v>30</v>
      </c>
    </row>
    <row r="37" spans="1:8" x14ac:dyDescent="0.2">
      <c r="A37" s="1">
        <v>44459</v>
      </c>
      <c r="B37">
        <v>139.666</v>
      </c>
      <c r="C37">
        <f t="shared" si="0"/>
        <v>-2.1616797307648879E-2</v>
      </c>
      <c r="D37" s="8" t="s">
        <v>30</v>
      </c>
      <c r="E37" s="8" t="s">
        <v>30</v>
      </c>
      <c r="F37" s="8" t="s">
        <v>30</v>
      </c>
      <c r="G37" s="8" t="s">
        <v>30</v>
      </c>
      <c r="H37" s="8" t="s">
        <v>30</v>
      </c>
    </row>
    <row r="38" spans="1:8" x14ac:dyDescent="0.2">
      <c r="A38" s="1">
        <v>44460</v>
      </c>
      <c r="B38">
        <v>140.15</v>
      </c>
      <c r="C38">
        <f t="shared" si="0"/>
        <v>3.4594196378511521E-3</v>
      </c>
      <c r="D38" s="8" t="s">
        <v>30</v>
      </c>
      <c r="E38" s="8" t="s">
        <v>30</v>
      </c>
      <c r="F38" s="8" t="s">
        <v>30</v>
      </c>
      <c r="G38" s="8" t="s">
        <v>30</v>
      </c>
      <c r="H38" s="8" t="s">
        <v>30</v>
      </c>
    </row>
    <row r="39" spans="1:8" x14ac:dyDescent="0.2">
      <c r="A39" s="1">
        <v>44461</v>
      </c>
      <c r="B39">
        <v>142.51300000000001</v>
      </c>
      <c r="C39">
        <f t="shared" si="0"/>
        <v>1.6719946007056015E-2</v>
      </c>
      <c r="D39" s="8" t="s">
        <v>30</v>
      </c>
      <c r="E39" s="8" t="s">
        <v>30</v>
      </c>
      <c r="F39" s="8" t="s">
        <v>30</v>
      </c>
      <c r="G39" s="8" t="s">
        <v>30</v>
      </c>
      <c r="H39" s="8" t="s">
        <v>30</v>
      </c>
    </row>
    <row r="40" spans="1:8" x14ac:dyDescent="0.2">
      <c r="A40" s="1">
        <v>44462</v>
      </c>
      <c r="B40">
        <v>143.47499999999999</v>
      </c>
      <c r="C40">
        <f t="shared" si="0"/>
        <v>6.7275803765728297E-3</v>
      </c>
      <c r="D40" s="8" t="s">
        <v>30</v>
      </c>
      <c r="E40" s="8" t="s">
        <v>30</v>
      </c>
      <c r="F40" s="8" t="s">
        <v>30</v>
      </c>
      <c r="G40" s="8" t="s">
        <v>30</v>
      </c>
      <c r="H40" s="8" t="s">
        <v>30</v>
      </c>
    </row>
    <row r="41" spans="1:8" x14ac:dyDescent="0.2">
      <c r="A41" s="1">
        <v>44463</v>
      </c>
      <c r="B41">
        <v>143.56399999999999</v>
      </c>
      <c r="C41">
        <f t="shared" si="0"/>
        <v>6.201248112773193E-4</v>
      </c>
      <c r="D41" s="8" t="s">
        <v>30</v>
      </c>
      <c r="E41" s="8" t="s">
        <v>30</v>
      </c>
      <c r="F41" s="8" t="s">
        <v>30</v>
      </c>
      <c r="G41" s="8" t="s">
        <v>30</v>
      </c>
      <c r="H41" s="8" t="s">
        <v>30</v>
      </c>
    </row>
    <row r="42" spans="1:8" x14ac:dyDescent="0.2">
      <c r="A42" s="1">
        <v>44466</v>
      </c>
      <c r="B42">
        <v>142.05099999999999</v>
      </c>
      <c r="C42">
        <f t="shared" si="0"/>
        <v>-1.0594780755558615E-2</v>
      </c>
      <c r="D42" s="8" t="s">
        <v>30</v>
      </c>
      <c r="E42" s="8" t="s">
        <v>30</v>
      </c>
      <c r="F42" s="8" t="s">
        <v>30</v>
      </c>
      <c r="G42" s="8" t="s">
        <v>30</v>
      </c>
      <c r="H42" s="8" t="s">
        <v>30</v>
      </c>
    </row>
    <row r="43" spans="1:8" x14ac:dyDescent="0.2">
      <c r="A43" s="1">
        <v>44467</v>
      </c>
      <c r="B43">
        <v>138.655</v>
      </c>
      <c r="C43">
        <f t="shared" si="0"/>
        <v>-2.4197314611891275E-2</v>
      </c>
      <c r="D43" s="8" t="s">
        <v>30</v>
      </c>
      <c r="E43" s="8" t="s">
        <v>30</v>
      </c>
      <c r="F43" s="8" t="s">
        <v>30</v>
      </c>
      <c r="G43" s="8" t="s">
        <v>30</v>
      </c>
      <c r="H43" s="8" t="s">
        <v>30</v>
      </c>
    </row>
    <row r="44" spans="1:8" x14ac:dyDescent="0.2">
      <c r="A44" s="1">
        <v>44468</v>
      </c>
      <c r="B44">
        <v>139.55799999999999</v>
      </c>
      <c r="C44">
        <f t="shared" si="0"/>
        <v>6.4914520238356843E-3</v>
      </c>
      <c r="D44" s="8" t="s">
        <v>30</v>
      </c>
      <c r="E44" s="8" t="s">
        <v>30</v>
      </c>
      <c r="F44" s="8" t="s">
        <v>30</v>
      </c>
      <c r="G44" s="8" t="s">
        <v>30</v>
      </c>
      <c r="H44" s="8" t="s">
        <v>30</v>
      </c>
    </row>
    <row r="45" spans="1:8" x14ac:dyDescent="0.2">
      <c r="A45" s="1">
        <v>44469</v>
      </c>
      <c r="B45">
        <v>138.255</v>
      </c>
      <c r="C45">
        <f t="shared" si="0"/>
        <v>-9.3804793483522522E-3</v>
      </c>
      <c r="D45" s="8" t="s">
        <v>30</v>
      </c>
      <c r="E45" s="8" t="s">
        <v>30</v>
      </c>
      <c r="F45" s="8" t="s">
        <v>30</v>
      </c>
      <c r="G45" s="8" t="s">
        <v>30</v>
      </c>
      <c r="H45" s="8" t="s">
        <v>30</v>
      </c>
    </row>
    <row r="46" spans="1:8" x14ac:dyDescent="0.2">
      <c r="A46" s="1">
        <v>44470</v>
      </c>
      <c r="B46">
        <v>139.38499999999999</v>
      </c>
      <c r="C46">
        <f t="shared" si="0"/>
        <v>8.1400824057419417E-3</v>
      </c>
      <c r="D46" s="8" t="s">
        <v>30</v>
      </c>
      <c r="E46" s="8" t="s">
        <v>30</v>
      </c>
      <c r="F46" s="8" t="s">
        <v>30</v>
      </c>
      <c r="G46" s="8" t="s">
        <v>30</v>
      </c>
      <c r="H46" s="8" t="s">
        <v>30</v>
      </c>
    </row>
    <row r="47" spans="1:8" x14ac:dyDescent="0.2">
      <c r="A47" s="1">
        <v>44473</v>
      </c>
      <c r="B47">
        <v>135.958</v>
      </c>
      <c r="C47">
        <f t="shared" si="0"/>
        <v>-2.4893874008645088E-2</v>
      </c>
      <c r="D47" s="8" t="s">
        <v>30</v>
      </c>
      <c r="E47" s="8" t="s">
        <v>30</v>
      </c>
      <c r="F47" s="8" t="s">
        <v>30</v>
      </c>
      <c r="G47" s="8" t="s">
        <v>30</v>
      </c>
      <c r="H47" s="8" t="s">
        <v>30</v>
      </c>
    </row>
    <row r="48" spans="1:8" x14ac:dyDescent="0.2">
      <c r="A48" s="1">
        <v>44474</v>
      </c>
      <c r="B48">
        <v>137.87100000000001</v>
      </c>
      <c r="C48">
        <f t="shared" si="0"/>
        <v>1.3972450855944379E-2</v>
      </c>
      <c r="D48" s="8" t="s">
        <v>30</v>
      </c>
      <c r="E48" s="8" t="s">
        <v>30</v>
      </c>
      <c r="F48" s="8" t="s">
        <v>30</v>
      </c>
      <c r="G48" s="8" t="s">
        <v>30</v>
      </c>
      <c r="H48" s="8" t="s">
        <v>30</v>
      </c>
    </row>
    <row r="49" spans="1:8" x14ac:dyDescent="0.2">
      <c r="A49" s="1">
        <v>44475</v>
      </c>
      <c r="B49">
        <v>138.744</v>
      </c>
      <c r="C49">
        <f t="shared" si="0"/>
        <v>6.3120430815060352E-3</v>
      </c>
      <c r="D49" s="8" t="s">
        <v>30</v>
      </c>
      <c r="E49" s="8" t="s">
        <v>30</v>
      </c>
      <c r="F49" s="8" t="s">
        <v>30</v>
      </c>
      <c r="G49" s="8" t="s">
        <v>30</v>
      </c>
      <c r="H49" s="8" t="s">
        <v>30</v>
      </c>
    </row>
    <row r="50" spans="1:8" x14ac:dyDescent="0.2">
      <c r="A50" s="1">
        <v>44476</v>
      </c>
      <c r="B50">
        <v>140.012</v>
      </c>
      <c r="C50">
        <f t="shared" si="0"/>
        <v>9.09762477347454E-3</v>
      </c>
      <c r="D50" s="8" t="s">
        <v>30</v>
      </c>
      <c r="E50" s="8" t="s">
        <v>30</v>
      </c>
      <c r="F50" s="8" t="s">
        <v>30</v>
      </c>
      <c r="G50" s="8" t="s">
        <v>30</v>
      </c>
      <c r="H50" s="8" t="s">
        <v>30</v>
      </c>
    </row>
    <row r="51" spans="1:8" x14ac:dyDescent="0.2">
      <c r="A51" s="1">
        <v>44477</v>
      </c>
      <c r="B51">
        <v>139.62799999999999</v>
      </c>
      <c r="C51">
        <f t="shared" si="0"/>
        <v>-2.746389939672664E-3</v>
      </c>
      <c r="D51" s="8" t="s">
        <v>30</v>
      </c>
      <c r="E51" s="8" t="s">
        <v>30</v>
      </c>
      <c r="F51" s="8" t="s">
        <v>30</v>
      </c>
      <c r="G51" s="8" t="s">
        <v>30</v>
      </c>
      <c r="H51" s="8" t="s">
        <v>30</v>
      </c>
    </row>
    <row r="52" spans="1:8" x14ac:dyDescent="0.2">
      <c r="A52" s="1">
        <v>44480</v>
      </c>
      <c r="B52">
        <v>139.53800000000001</v>
      </c>
      <c r="C52">
        <f t="shared" si="0"/>
        <v>-6.4477768150855502E-4</v>
      </c>
      <c r="D52" s="8" t="s">
        <v>30</v>
      </c>
      <c r="E52" s="8" t="s">
        <v>30</v>
      </c>
      <c r="F52" s="8" t="s">
        <v>30</v>
      </c>
      <c r="G52" s="8" t="s">
        <v>30</v>
      </c>
      <c r="H52" s="8" t="s">
        <v>30</v>
      </c>
    </row>
    <row r="53" spans="1:8" x14ac:dyDescent="0.2">
      <c r="A53" s="1">
        <v>44481</v>
      </c>
      <c r="B53">
        <v>138.26499999999999</v>
      </c>
      <c r="C53">
        <f t="shared" si="0"/>
        <v>-9.1648319878941155E-3</v>
      </c>
      <c r="D53" s="8" t="s">
        <v>30</v>
      </c>
      <c r="E53" s="8" t="s">
        <v>30</v>
      </c>
      <c r="F53" s="8" t="s">
        <v>30</v>
      </c>
      <c r="G53" s="8" t="s">
        <v>30</v>
      </c>
      <c r="H53" s="8" t="s">
        <v>30</v>
      </c>
    </row>
    <row r="54" spans="1:8" x14ac:dyDescent="0.2">
      <c r="A54" s="1">
        <v>44482</v>
      </c>
      <c r="B54">
        <v>137.67599999999999</v>
      </c>
      <c r="C54">
        <f t="shared" si="0"/>
        <v>-4.2690350076776294E-3</v>
      </c>
      <c r="D54" s="8" t="s">
        <v>30</v>
      </c>
      <c r="E54" s="8" t="s">
        <v>30</v>
      </c>
      <c r="F54" s="8" t="s">
        <v>30</v>
      </c>
      <c r="G54" s="8" t="s">
        <v>30</v>
      </c>
      <c r="H54" s="8" t="s">
        <v>30</v>
      </c>
    </row>
    <row r="55" spans="1:8" x14ac:dyDescent="0.2">
      <c r="A55" s="1">
        <v>44483</v>
      </c>
      <c r="B55">
        <v>140.471</v>
      </c>
      <c r="C55">
        <f t="shared" si="0"/>
        <v>2.009796317025728E-2</v>
      </c>
      <c r="D55" s="8" t="s">
        <v>30</v>
      </c>
      <c r="E55" s="8" t="s">
        <v>30</v>
      </c>
      <c r="F55" s="8" t="s">
        <v>30</v>
      </c>
      <c r="G55" s="8" t="s">
        <v>30</v>
      </c>
      <c r="H55" s="8" t="s">
        <v>30</v>
      </c>
    </row>
    <row r="56" spans="1:8" x14ac:dyDescent="0.2">
      <c r="A56" s="1">
        <v>44484</v>
      </c>
      <c r="B56">
        <v>141.53399999999999</v>
      </c>
      <c r="C56">
        <f t="shared" si="0"/>
        <v>7.5389091302803073E-3</v>
      </c>
      <c r="D56" s="8" t="s">
        <v>30</v>
      </c>
      <c r="E56" s="8" t="s">
        <v>30</v>
      </c>
      <c r="F56" s="8" t="s">
        <v>30</v>
      </c>
      <c r="G56" s="8" t="s">
        <v>30</v>
      </c>
      <c r="H56" s="8" t="s">
        <v>30</v>
      </c>
    </row>
    <row r="57" spans="1:8" x14ac:dyDescent="0.2">
      <c r="A57" s="1">
        <v>44487</v>
      </c>
      <c r="B57">
        <v>143.19999999999999</v>
      </c>
      <c r="C57">
        <f t="shared" si="0"/>
        <v>1.1702283621001647E-2</v>
      </c>
      <c r="D57" s="8" t="s">
        <v>30</v>
      </c>
      <c r="E57" s="8" t="s">
        <v>30</v>
      </c>
      <c r="F57" s="8" t="s">
        <v>30</v>
      </c>
      <c r="G57" s="8" t="s">
        <v>30</v>
      </c>
      <c r="H57" s="8" t="s">
        <v>30</v>
      </c>
    </row>
    <row r="58" spans="1:8" x14ac:dyDescent="0.2">
      <c r="A58" s="1">
        <v>44488</v>
      </c>
      <c r="B58">
        <v>145.34899999999999</v>
      </c>
      <c r="C58">
        <f t="shared" si="0"/>
        <v>1.4895492509712392E-2</v>
      </c>
      <c r="D58" s="8" t="s">
        <v>30</v>
      </c>
      <c r="E58" s="8" t="s">
        <v>30</v>
      </c>
      <c r="F58" s="8" t="s">
        <v>30</v>
      </c>
      <c r="G58" s="8" t="s">
        <v>30</v>
      </c>
      <c r="H58" s="8" t="s">
        <v>30</v>
      </c>
    </row>
    <row r="59" spans="1:8" x14ac:dyDescent="0.2">
      <c r="A59" s="1">
        <v>44489</v>
      </c>
      <c r="B59">
        <v>145.84</v>
      </c>
      <c r="C59">
        <f t="shared" si="0"/>
        <v>3.3723833341501269E-3</v>
      </c>
      <c r="D59" s="8" t="s">
        <v>30</v>
      </c>
      <c r="E59" s="8" t="s">
        <v>30</v>
      </c>
      <c r="F59" s="8" t="s">
        <v>30</v>
      </c>
      <c r="G59" s="8" t="s">
        <v>30</v>
      </c>
      <c r="H59" s="8" t="s">
        <v>30</v>
      </c>
    </row>
    <row r="60" spans="1:8" x14ac:dyDescent="0.2">
      <c r="A60" s="1">
        <v>44490</v>
      </c>
      <c r="B60">
        <v>146.05500000000001</v>
      </c>
      <c r="C60">
        <f t="shared" si="0"/>
        <v>1.4731327284216965E-3</v>
      </c>
      <c r="D60" s="8" t="s">
        <v>30</v>
      </c>
      <c r="E60" s="8" t="s">
        <v>30</v>
      </c>
      <c r="F60" s="8" t="s">
        <v>30</v>
      </c>
      <c r="G60" s="8" t="s">
        <v>30</v>
      </c>
      <c r="H60" s="8" t="s">
        <v>30</v>
      </c>
    </row>
    <row r="61" spans="1:8" x14ac:dyDescent="0.2">
      <c r="A61" s="1">
        <v>44491</v>
      </c>
      <c r="B61">
        <v>145.28100000000001</v>
      </c>
      <c r="C61">
        <f t="shared" si="0"/>
        <v>-5.3134650096237079E-3</v>
      </c>
      <c r="D61" s="8" t="s">
        <v>30</v>
      </c>
      <c r="E61" s="8" t="s">
        <v>30</v>
      </c>
      <c r="F61" s="8" t="s">
        <v>30</v>
      </c>
      <c r="G61" s="8" t="s">
        <v>30</v>
      </c>
      <c r="H61" s="8" t="s">
        <v>30</v>
      </c>
    </row>
    <row r="62" spans="1:8" x14ac:dyDescent="0.2">
      <c r="A62" s="1">
        <v>44494</v>
      </c>
      <c r="B62">
        <v>145.23099999999999</v>
      </c>
      <c r="C62">
        <f t="shared" si="0"/>
        <v>-3.442198635079586E-4</v>
      </c>
      <c r="D62" s="8" t="s">
        <v>30</v>
      </c>
      <c r="E62" s="8" t="s">
        <v>30</v>
      </c>
      <c r="F62" s="8" t="s">
        <v>30</v>
      </c>
      <c r="G62" s="8" t="s">
        <v>30</v>
      </c>
      <c r="H62" s="8" t="s">
        <v>30</v>
      </c>
    </row>
    <row r="63" spans="1:8" x14ac:dyDescent="0.2">
      <c r="A63" s="1">
        <v>44495</v>
      </c>
      <c r="B63">
        <v>145.899</v>
      </c>
      <c r="C63">
        <f t="shared" si="0"/>
        <v>4.5890232699578393E-3</v>
      </c>
      <c r="D63" s="8" t="s">
        <v>30</v>
      </c>
      <c r="E63" s="8" t="s">
        <v>30</v>
      </c>
      <c r="F63" s="8" t="s">
        <v>30</v>
      </c>
      <c r="G63" s="8" t="s">
        <v>30</v>
      </c>
      <c r="H63" s="8" t="s">
        <v>30</v>
      </c>
    </row>
    <row r="64" spans="1:8" x14ac:dyDescent="0.2">
      <c r="A64" s="1">
        <v>44496</v>
      </c>
      <c r="B64">
        <v>145.43700000000001</v>
      </c>
      <c r="C64">
        <f t="shared" si="0"/>
        <v>-3.1715983419337416E-3</v>
      </c>
      <c r="D64" s="8" t="s">
        <v>30</v>
      </c>
      <c r="E64" s="8" t="s">
        <v>30</v>
      </c>
      <c r="F64" s="8" t="s">
        <v>30</v>
      </c>
      <c r="G64" s="8" t="s">
        <v>30</v>
      </c>
      <c r="H64" s="8" t="s">
        <v>30</v>
      </c>
    </row>
    <row r="65" spans="1:8" x14ac:dyDescent="0.2">
      <c r="A65" s="1">
        <v>44497</v>
      </c>
      <c r="B65">
        <v>149.08500000000001</v>
      </c>
      <c r="C65">
        <f t="shared" si="0"/>
        <v>2.477360993435699E-2</v>
      </c>
      <c r="D65" s="8" t="s">
        <v>30</v>
      </c>
      <c r="E65" s="8" t="s">
        <v>30</v>
      </c>
      <c r="F65" s="8" t="s">
        <v>30</v>
      </c>
      <c r="G65" s="8" t="s">
        <v>30</v>
      </c>
      <c r="H65" s="8" t="s">
        <v>30</v>
      </c>
    </row>
    <row r="66" spans="1:8" x14ac:dyDescent="0.2">
      <c r="A66" s="1">
        <v>44498</v>
      </c>
      <c r="B66">
        <v>146.36799999999999</v>
      </c>
      <c r="C66">
        <f t="shared" si="0"/>
        <v>-1.8392614687762741E-2</v>
      </c>
      <c r="D66" s="8" t="s">
        <v>30</v>
      </c>
      <c r="E66" s="8" t="s">
        <v>30</v>
      </c>
      <c r="F66" s="8" t="s">
        <v>30</v>
      </c>
      <c r="G66" s="8" t="s">
        <v>30</v>
      </c>
      <c r="H66" s="8" t="s">
        <v>30</v>
      </c>
    </row>
    <row r="67" spans="1:8" x14ac:dyDescent="0.2">
      <c r="A67" s="1">
        <v>44501</v>
      </c>
      <c r="B67">
        <v>145.54599999999999</v>
      </c>
      <c r="C67">
        <f t="shared" ref="C67:C130" si="1">LN(B67/B66)</f>
        <v>-5.6318105512803678E-3</v>
      </c>
      <c r="D67" s="8" t="s">
        <v>30</v>
      </c>
      <c r="E67" s="8" t="s">
        <v>30</v>
      </c>
      <c r="F67" s="8" t="s">
        <v>30</v>
      </c>
      <c r="G67" s="8" t="s">
        <v>30</v>
      </c>
      <c r="H67" s="8" t="s">
        <v>30</v>
      </c>
    </row>
    <row r="68" spans="1:8" x14ac:dyDescent="0.2">
      <c r="A68" s="1">
        <v>44502</v>
      </c>
      <c r="B68">
        <v>146.58600000000001</v>
      </c>
      <c r="C68">
        <f t="shared" si="1"/>
        <v>7.1200990896804952E-3</v>
      </c>
      <c r="D68" s="8" t="s">
        <v>30</v>
      </c>
      <c r="E68" s="8" t="s">
        <v>30</v>
      </c>
      <c r="F68" s="8" t="s">
        <v>30</v>
      </c>
      <c r="G68" s="8" t="s">
        <v>30</v>
      </c>
      <c r="H68" s="8" t="s">
        <v>30</v>
      </c>
    </row>
    <row r="69" spans="1:8" x14ac:dyDescent="0.2">
      <c r="A69" s="1">
        <v>44503</v>
      </c>
      <c r="B69">
        <v>148.029</v>
      </c>
      <c r="C69">
        <f t="shared" si="1"/>
        <v>9.7959135764455908E-3</v>
      </c>
      <c r="D69" s="8" t="s">
        <v>30</v>
      </c>
      <c r="E69" s="8" t="s">
        <v>30</v>
      </c>
      <c r="F69" s="8" t="s">
        <v>30</v>
      </c>
      <c r="G69" s="8" t="s">
        <v>30</v>
      </c>
      <c r="H69" s="8" t="s">
        <v>30</v>
      </c>
    </row>
    <row r="70" spans="1:8" x14ac:dyDescent="0.2">
      <c r="A70" s="1">
        <v>44504</v>
      </c>
      <c r="B70">
        <v>147.506</v>
      </c>
      <c r="C70">
        <f t="shared" si="1"/>
        <v>-3.5393475965113225E-3</v>
      </c>
      <c r="D70" s="8" t="s">
        <v>30</v>
      </c>
      <c r="E70" s="8" t="s">
        <v>30</v>
      </c>
      <c r="F70" s="8" t="s">
        <v>30</v>
      </c>
      <c r="G70" s="8" t="s">
        <v>30</v>
      </c>
      <c r="H70" s="8" t="s">
        <v>30</v>
      </c>
    </row>
    <row r="71" spans="1:8" x14ac:dyDescent="0.2">
      <c r="A71" s="1">
        <v>44505</v>
      </c>
      <c r="B71">
        <v>148.03800000000001</v>
      </c>
      <c r="C71">
        <f t="shared" si="1"/>
        <v>3.6001446458467931E-3</v>
      </c>
      <c r="D71" s="8" t="s">
        <v>30</v>
      </c>
      <c r="E71" s="8" t="s">
        <v>30</v>
      </c>
      <c r="F71" s="8" t="s">
        <v>30</v>
      </c>
      <c r="G71" s="8" t="s">
        <v>30</v>
      </c>
      <c r="H71" s="8" t="s">
        <v>30</v>
      </c>
    </row>
    <row r="72" spans="1:8" x14ac:dyDescent="0.2">
      <c r="A72" s="1">
        <v>44508</v>
      </c>
      <c r="B72">
        <v>147.21199999999999</v>
      </c>
      <c r="C72">
        <f t="shared" si="1"/>
        <v>-5.5952728533070432E-3</v>
      </c>
      <c r="D72" s="8" t="s">
        <v>30</v>
      </c>
      <c r="E72" s="8" t="s">
        <v>30</v>
      </c>
      <c r="F72" s="8" t="s">
        <v>30</v>
      </c>
      <c r="G72" s="8" t="s">
        <v>30</v>
      </c>
      <c r="H72" s="8" t="s">
        <v>30</v>
      </c>
    </row>
    <row r="73" spans="1:8" x14ac:dyDescent="0.2">
      <c r="A73" s="1">
        <v>44509</v>
      </c>
      <c r="B73">
        <v>147.57499999999999</v>
      </c>
      <c r="C73">
        <f t="shared" si="1"/>
        <v>2.4627964155631704E-3</v>
      </c>
      <c r="D73" s="8" t="s">
        <v>30</v>
      </c>
      <c r="E73" s="8" t="s">
        <v>30</v>
      </c>
      <c r="F73" s="8" t="s">
        <v>30</v>
      </c>
      <c r="G73" s="8" t="s">
        <v>30</v>
      </c>
      <c r="H73" s="8" t="s">
        <v>30</v>
      </c>
    </row>
    <row r="74" spans="1:8" x14ac:dyDescent="0.2">
      <c r="A74" s="1">
        <v>44510</v>
      </c>
      <c r="B74">
        <v>144.74</v>
      </c>
      <c r="C74">
        <f t="shared" si="1"/>
        <v>-1.9397491688771341E-2</v>
      </c>
      <c r="D74" s="8" t="s">
        <v>30</v>
      </c>
      <c r="E74" s="8" t="s">
        <v>30</v>
      </c>
      <c r="F74" s="8" t="s">
        <v>30</v>
      </c>
      <c r="G74" s="8" t="s">
        <v>30</v>
      </c>
      <c r="H74" s="8" t="s">
        <v>30</v>
      </c>
    </row>
    <row r="75" spans="1:8" x14ac:dyDescent="0.2">
      <c r="A75" s="1">
        <v>44511</v>
      </c>
      <c r="B75">
        <v>144.69</v>
      </c>
      <c r="C75">
        <f t="shared" si="1"/>
        <v>-3.45506688991505E-4</v>
      </c>
      <c r="D75" s="8" t="s">
        <v>30</v>
      </c>
      <c r="E75" s="8" t="s">
        <v>30</v>
      </c>
      <c r="F75" s="8" t="s">
        <v>30</v>
      </c>
      <c r="G75" s="8" t="s">
        <v>30</v>
      </c>
      <c r="H75" s="8" t="s">
        <v>30</v>
      </c>
    </row>
    <row r="76" spans="1:8" x14ac:dyDescent="0.2">
      <c r="A76" s="1">
        <v>44512</v>
      </c>
      <c r="B76">
        <v>146.773</v>
      </c>
      <c r="C76">
        <f t="shared" si="1"/>
        <v>1.429365280966393E-2</v>
      </c>
      <c r="D76" s="8" t="s">
        <v>30</v>
      </c>
      <c r="E76" s="8" t="s">
        <v>30</v>
      </c>
      <c r="F76" s="8" t="s">
        <v>30</v>
      </c>
      <c r="G76" s="8" t="s">
        <v>30</v>
      </c>
      <c r="H76" s="8" t="s">
        <v>30</v>
      </c>
    </row>
    <row r="77" spans="1:8" x14ac:dyDescent="0.2">
      <c r="A77" s="1">
        <v>44515</v>
      </c>
      <c r="B77">
        <v>146.78200000000001</v>
      </c>
      <c r="C77">
        <f t="shared" si="1"/>
        <v>6.1317300014265448E-5</v>
      </c>
      <c r="D77" s="8" t="s">
        <v>30</v>
      </c>
      <c r="E77" s="8" t="s">
        <v>30</v>
      </c>
      <c r="F77" s="8" t="s">
        <v>30</v>
      </c>
      <c r="G77" s="8" t="s">
        <v>30</v>
      </c>
      <c r="H77" s="8" t="s">
        <v>30</v>
      </c>
    </row>
    <row r="78" spans="1:8" x14ac:dyDescent="0.2">
      <c r="A78" s="1">
        <v>44516</v>
      </c>
      <c r="B78">
        <v>147.76400000000001</v>
      </c>
      <c r="C78">
        <f t="shared" si="1"/>
        <v>6.6679135917309161E-3</v>
      </c>
      <c r="D78" s="8" t="s">
        <v>30</v>
      </c>
      <c r="E78" s="8" t="s">
        <v>30</v>
      </c>
      <c r="F78" s="8" t="s">
        <v>30</v>
      </c>
      <c r="G78" s="8" t="s">
        <v>30</v>
      </c>
      <c r="H78" s="8" t="s">
        <v>30</v>
      </c>
    </row>
    <row r="79" spans="1:8" x14ac:dyDescent="0.2">
      <c r="A79" s="1">
        <v>44517</v>
      </c>
      <c r="B79">
        <v>150.196</v>
      </c>
      <c r="C79">
        <f t="shared" si="1"/>
        <v>1.6324701366564023E-2</v>
      </c>
      <c r="D79" s="8" t="s">
        <v>30</v>
      </c>
      <c r="E79" s="8" t="s">
        <v>30</v>
      </c>
      <c r="F79" s="8" t="s">
        <v>30</v>
      </c>
      <c r="G79" s="8" t="s">
        <v>30</v>
      </c>
      <c r="H79" s="8" t="s">
        <v>30</v>
      </c>
    </row>
    <row r="80" spans="1:8" x14ac:dyDescent="0.2">
      <c r="A80" s="1">
        <v>44518</v>
      </c>
      <c r="B80">
        <v>154.48400000000001</v>
      </c>
      <c r="C80">
        <f t="shared" si="1"/>
        <v>2.8149423287592949E-2</v>
      </c>
      <c r="D80" s="8" t="s">
        <v>30</v>
      </c>
      <c r="E80" s="8" t="s">
        <v>30</v>
      </c>
      <c r="F80" s="8" t="s">
        <v>30</v>
      </c>
      <c r="G80" s="8" t="s">
        <v>30</v>
      </c>
      <c r="H80" s="8" t="s">
        <v>30</v>
      </c>
    </row>
    <row r="81" spans="1:8" x14ac:dyDescent="0.2">
      <c r="A81" s="1">
        <v>44519</v>
      </c>
      <c r="B81">
        <v>157.10400000000001</v>
      </c>
      <c r="C81">
        <f t="shared" si="1"/>
        <v>1.6817475322378067E-2</v>
      </c>
      <c r="D81" s="8" t="s">
        <v>30</v>
      </c>
      <c r="E81" s="8" t="s">
        <v>30</v>
      </c>
      <c r="F81" s="8" t="s">
        <v>30</v>
      </c>
      <c r="G81" s="8" t="s">
        <v>30</v>
      </c>
      <c r="H81" s="8" t="s">
        <v>30</v>
      </c>
    </row>
    <row r="82" spans="1:8" x14ac:dyDescent="0.2">
      <c r="A82" s="1">
        <v>44522</v>
      </c>
      <c r="B82">
        <v>157.565</v>
      </c>
      <c r="C82">
        <f t="shared" si="1"/>
        <v>2.930065114884685E-3</v>
      </c>
      <c r="D82" s="8" t="s">
        <v>30</v>
      </c>
      <c r="E82" s="8" t="s">
        <v>30</v>
      </c>
      <c r="F82" s="8" t="s">
        <v>30</v>
      </c>
      <c r="G82" s="8" t="s">
        <v>30</v>
      </c>
      <c r="H82" s="8" t="s">
        <v>30</v>
      </c>
    </row>
    <row r="83" spans="1:8" x14ac:dyDescent="0.2">
      <c r="A83" s="1">
        <v>44523</v>
      </c>
      <c r="B83">
        <v>157.93799999999999</v>
      </c>
      <c r="C83">
        <f t="shared" si="1"/>
        <v>2.3644794108424296E-3</v>
      </c>
      <c r="D83" s="8" t="s">
        <v>30</v>
      </c>
      <c r="E83" s="8" t="s">
        <v>30</v>
      </c>
      <c r="F83" s="8" t="s">
        <v>30</v>
      </c>
      <c r="G83" s="8" t="s">
        <v>30</v>
      </c>
      <c r="H83" s="8" t="s">
        <v>30</v>
      </c>
    </row>
    <row r="84" spans="1:8" x14ac:dyDescent="0.2">
      <c r="A84" s="1">
        <v>44524</v>
      </c>
      <c r="B84">
        <v>158.459</v>
      </c>
      <c r="C84">
        <f t="shared" si="1"/>
        <v>3.2933338236403242E-3</v>
      </c>
      <c r="D84" s="8" t="s">
        <v>30</v>
      </c>
      <c r="E84" s="8" t="s">
        <v>30</v>
      </c>
      <c r="F84" s="8" t="s">
        <v>30</v>
      </c>
      <c r="G84" s="8" t="s">
        <v>30</v>
      </c>
      <c r="H84" s="8" t="s">
        <v>30</v>
      </c>
    </row>
    <row r="85" spans="1:8" x14ac:dyDescent="0.2">
      <c r="A85" s="1">
        <v>44526</v>
      </c>
      <c r="B85">
        <v>153.44200000000001</v>
      </c>
      <c r="C85">
        <f t="shared" si="1"/>
        <v>-3.2173239315276464E-2</v>
      </c>
      <c r="D85" s="8" t="s">
        <v>30</v>
      </c>
      <c r="E85" s="8" t="s">
        <v>30</v>
      </c>
      <c r="F85" s="8" t="s">
        <v>30</v>
      </c>
      <c r="G85" s="8" t="s">
        <v>30</v>
      </c>
      <c r="H85" s="8" t="s">
        <v>30</v>
      </c>
    </row>
    <row r="86" spans="1:8" x14ac:dyDescent="0.2">
      <c r="A86" s="1">
        <v>44529</v>
      </c>
      <c r="B86">
        <v>156.81</v>
      </c>
      <c r="C86">
        <f t="shared" si="1"/>
        <v>2.1712235931914514E-2</v>
      </c>
      <c r="D86" s="8" t="s">
        <v>30</v>
      </c>
      <c r="E86" s="8" t="s">
        <v>30</v>
      </c>
      <c r="F86" s="8" t="s">
        <v>30</v>
      </c>
      <c r="G86" s="8" t="s">
        <v>30</v>
      </c>
      <c r="H86" s="8" t="s">
        <v>30</v>
      </c>
    </row>
    <row r="87" spans="1:8" x14ac:dyDescent="0.2">
      <c r="A87" s="1">
        <v>44530</v>
      </c>
      <c r="B87">
        <v>161.75399999999999</v>
      </c>
      <c r="C87">
        <f t="shared" si="1"/>
        <v>3.104178120316577E-2</v>
      </c>
      <c r="D87" s="8" t="s">
        <v>30</v>
      </c>
      <c r="E87" s="8" t="s">
        <v>30</v>
      </c>
      <c r="F87" s="8" t="s">
        <v>30</v>
      </c>
      <c r="G87" s="8" t="s">
        <v>30</v>
      </c>
      <c r="H87" s="8" t="s">
        <v>30</v>
      </c>
    </row>
    <row r="88" spans="1:8" x14ac:dyDescent="0.2">
      <c r="A88" s="1">
        <v>44531</v>
      </c>
      <c r="B88">
        <v>161.23500000000001</v>
      </c>
      <c r="C88">
        <f t="shared" si="1"/>
        <v>-3.2137345029692212E-3</v>
      </c>
      <c r="D88" s="8" t="s">
        <v>30</v>
      </c>
      <c r="E88" s="8" t="s">
        <v>30</v>
      </c>
      <c r="F88" s="8" t="s">
        <v>30</v>
      </c>
      <c r="G88" s="8" t="s">
        <v>30</v>
      </c>
      <c r="H88" s="8" t="s">
        <v>30</v>
      </c>
    </row>
    <row r="89" spans="1:8" x14ac:dyDescent="0.2">
      <c r="A89" s="1">
        <v>44532</v>
      </c>
      <c r="B89">
        <v>160.244</v>
      </c>
      <c r="C89">
        <f t="shared" si="1"/>
        <v>-6.165274490967456E-3</v>
      </c>
      <c r="D89" s="8" t="s">
        <v>30</v>
      </c>
      <c r="E89" s="8" t="s">
        <v>30</v>
      </c>
      <c r="F89" s="8" t="s">
        <v>30</v>
      </c>
      <c r="G89" s="8" t="s">
        <v>30</v>
      </c>
      <c r="H89" s="8" t="s">
        <v>30</v>
      </c>
    </row>
    <row r="90" spans="1:8" x14ac:dyDescent="0.2">
      <c r="A90" s="1">
        <v>44533</v>
      </c>
      <c r="B90">
        <v>158.36099999999999</v>
      </c>
      <c r="C90">
        <f t="shared" si="1"/>
        <v>-1.1820416658236212E-2</v>
      </c>
      <c r="D90" s="8" t="s">
        <v>30</v>
      </c>
      <c r="E90" s="8" t="s">
        <v>30</v>
      </c>
      <c r="F90" s="8" t="s">
        <v>30</v>
      </c>
      <c r="G90" s="8" t="s">
        <v>30</v>
      </c>
      <c r="H90" s="8" t="s">
        <v>30</v>
      </c>
    </row>
    <row r="91" spans="1:8" x14ac:dyDescent="0.2">
      <c r="A91" s="1">
        <v>44536</v>
      </c>
      <c r="B91">
        <v>161.774</v>
      </c>
      <c r="C91">
        <f t="shared" si="1"/>
        <v>2.1323062555473359E-2</v>
      </c>
      <c r="D91" s="8" t="s">
        <v>30</v>
      </c>
      <c r="E91" s="8" t="s">
        <v>30</v>
      </c>
      <c r="F91" s="8" t="s">
        <v>30</v>
      </c>
      <c r="G91" s="8" t="s">
        <v>30</v>
      </c>
      <c r="H91" s="8" t="s">
        <v>30</v>
      </c>
    </row>
    <row r="92" spans="1:8" x14ac:dyDescent="0.2">
      <c r="A92" s="1">
        <v>44537</v>
      </c>
      <c r="B92">
        <v>167.505</v>
      </c>
      <c r="C92">
        <f t="shared" si="1"/>
        <v>3.4812902066458859E-2</v>
      </c>
      <c r="D92" s="8" t="s">
        <v>30</v>
      </c>
      <c r="E92" s="8" t="s">
        <v>30</v>
      </c>
      <c r="F92" s="8" t="s">
        <v>30</v>
      </c>
      <c r="G92" s="8" t="s">
        <v>30</v>
      </c>
      <c r="H92" s="8" t="s">
        <v>30</v>
      </c>
    </row>
    <row r="93" spans="1:8" x14ac:dyDescent="0.2">
      <c r="A93" s="1">
        <v>44538</v>
      </c>
      <c r="B93">
        <v>171.322</v>
      </c>
      <c r="C93">
        <f t="shared" si="1"/>
        <v>2.253162517340189E-2</v>
      </c>
      <c r="D93" s="8" t="s">
        <v>30</v>
      </c>
      <c r="E93" s="8" t="s">
        <v>30</v>
      </c>
      <c r="F93" s="8" t="s">
        <v>30</v>
      </c>
      <c r="G93" s="8" t="s">
        <v>30</v>
      </c>
      <c r="H93" s="8" t="s">
        <v>30</v>
      </c>
    </row>
    <row r="94" spans="1:8" x14ac:dyDescent="0.2">
      <c r="A94" s="1">
        <v>44539</v>
      </c>
      <c r="B94">
        <v>170.81200000000001</v>
      </c>
      <c r="C94">
        <f t="shared" si="1"/>
        <v>-2.9812902415066477E-3</v>
      </c>
      <c r="D94" s="8" t="s">
        <v>30</v>
      </c>
      <c r="E94" s="8" t="s">
        <v>30</v>
      </c>
      <c r="F94" s="8" t="s">
        <v>30</v>
      </c>
      <c r="G94" s="8" t="s">
        <v>30</v>
      </c>
      <c r="H94" s="8" t="s">
        <v>30</v>
      </c>
    </row>
    <row r="95" spans="1:8" x14ac:dyDescent="0.2">
      <c r="A95" s="1">
        <v>44540</v>
      </c>
      <c r="B95">
        <v>175.6</v>
      </c>
      <c r="C95">
        <f t="shared" si="1"/>
        <v>2.7645144703255797E-2</v>
      </c>
      <c r="D95" s="8" t="s">
        <v>30</v>
      </c>
      <c r="E95" s="8" t="s">
        <v>30</v>
      </c>
      <c r="F95" s="8" t="s">
        <v>30</v>
      </c>
      <c r="G95" s="8" t="s">
        <v>30</v>
      </c>
      <c r="H95" s="8" t="s">
        <v>30</v>
      </c>
    </row>
    <row r="96" spans="1:8" x14ac:dyDescent="0.2">
      <c r="A96" s="1">
        <v>44543</v>
      </c>
      <c r="B96">
        <v>171.97</v>
      </c>
      <c r="C96">
        <f t="shared" si="1"/>
        <v>-2.0888638204908119E-2</v>
      </c>
      <c r="D96" s="8" t="s">
        <v>30</v>
      </c>
      <c r="E96" s="8" t="s">
        <v>30</v>
      </c>
      <c r="F96" s="8" t="s">
        <v>30</v>
      </c>
      <c r="G96" s="8" t="s">
        <v>30</v>
      </c>
      <c r="H96" s="8" t="s">
        <v>30</v>
      </c>
    </row>
    <row r="97" spans="1:8" x14ac:dyDescent="0.2">
      <c r="A97" s="1">
        <v>44544</v>
      </c>
      <c r="B97">
        <v>170.58500000000001</v>
      </c>
      <c r="C97">
        <f t="shared" si="1"/>
        <v>-8.0863367748478382E-3</v>
      </c>
      <c r="D97" s="8" t="s">
        <v>30</v>
      </c>
      <c r="E97" s="8" t="s">
        <v>30</v>
      </c>
      <c r="F97" s="8" t="s">
        <v>30</v>
      </c>
      <c r="G97" s="8" t="s">
        <v>30</v>
      </c>
      <c r="H97" s="8" t="s">
        <v>30</v>
      </c>
    </row>
    <row r="98" spans="1:8" x14ac:dyDescent="0.2">
      <c r="A98" s="1">
        <v>44545</v>
      </c>
      <c r="B98">
        <v>175.45099999999999</v>
      </c>
      <c r="C98">
        <f t="shared" si="1"/>
        <v>2.8126095421245084E-2</v>
      </c>
      <c r="D98" s="8" t="s">
        <v>30</v>
      </c>
      <c r="E98" s="8" t="s">
        <v>30</v>
      </c>
      <c r="F98" s="8" t="s">
        <v>30</v>
      </c>
      <c r="G98" s="8" t="s">
        <v>30</v>
      </c>
      <c r="H98" s="8" t="s">
        <v>30</v>
      </c>
    </row>
    <row r="99" spans="1:8" x14ac:dyDescent="0.2">
      <c r="A99" s="1">
        <v>44546</v>
      </c>
      <c r="B99">
        <v>168.566</v>
      </c>
      <c r="C99">
        <f t="shared" si="1"/>
        <v>-4.0032437146478937E-2</v>
      </c>
      <c r="D99" s="8" t="s">
        <v>30</v>
      </c>
      <c r="E99" s="8" t="s">
        <v>30</v>
      </c>
      <c r="F99" s="8" t="s">
        <v>30</v>
      </c>
      <c r="G99" s="8" t="s">
        <v>30</v>
      </c>
      <c r="H99" s="8" t="s">
        <v>30</v>
      </c>
    </row>
    <row r="100" spans="1:8" x14ac:dyDescent="0.2">
      <c r="A100" s="1">
        <v>44547</v>
      </c>
      <c r="B100">
        <v>167.46600000000001</v>
      </c>
      <c r="C100">
        <f t="shared" si="1"/>
        <v>-6.547018909790538E-3</v>
      </c>
      <c r="D100" s="8" t="s">
        <v>30</v>
      </c>
      <c r="E100" s="8" t="s">
        <v>30</v>
      </c>
      <c r="F100" s="8" t="s">
        <v>30</v>
      </c>
      <c r="G100" s="8" t="s">
        <v>30</v>
      </c>
      <c r="H100" s="8" t="s">
        <v>30</v>
      </c>
    </row>
    <row r="101" spans="1:8" x14ac:dyDescent="0.2">
      <c r="A101" s="1">
        <v>44550</v>
      </c>
      <c r="B101">
        <v>166.102</v>
      </c>
      <c r="C101">
        <f t="shared" si="1"/>
        <v>-8.1782881002848366E-3</v>
      </c>
      <c r="D101" s="8" t="s">
        <v>30</v>
      </c>
      <c r="E101" s="8" t="s">
        <v>30</v>
      </c>
      <c r="F101" s="8" t="s">
        <v>30</v>
      </c>
      <c r="G101" s="8" t="s">
        <v>30</v>
      </c>
      <c r="H101" s="8" t="s">
        <v>30</v>
      </c>
    </row>
    <row r="102" spans="1:8" x14ac:dyDescent="0.2">
      <c r="A102" s="1">
        <v>44551</v>
      </c>
      <c r="B102">
        <v>169.28399999999999</v>
      </c>
      <c r="C102">
        <f t="shared" si="1"/>
        <v>1.8975720394414541E-2</v>
      </c>
      <c r="D102" s="8" t="s">
        <v>30</v>
      </c>
      <c r="E102" s="8" t="s">
        <v>30</v>
      </c>
      <c r="F102" s="8" t="s">
        <v>30</v>
      </c>
      <c r="G102" s="8" t="s">
        <v>30</v>
      </c>
      <c r="H102" s="8" t="s">
        <v>30</v>
      </c>
    </row>
    <row r="103" spans="1:8" x14ac:dyDescent="0.2">
      <c r="A103" s="1">
        <v>44552</v>
      </c>
      <c r="B103">
        <v>171.87100000000001</v>
      </c>
      <c r="C103">
        <f t="shared" si="1"/>
        <v>1.5166417542383404E-2</v>
      </c>
      <c r="D103" s="8" t="s">
        <v>30</v>
      </c>
      <c r="E103" s="8" t="s">
        <v>30</v>
      </c>
      <c r="F103" s="8" t="s">
        <v>30</v>
      </c>
      <c r="G103" s="8" t="s">
        <v>30</v>
      </c>
      <c r="H103" s="8" t="s">
        <v>30</v>
      </c>
    </row>
    <row r="104" spans="1:8" x14ac:dyDescent="0.2">
      <c r="A104" s="1">
        <v>44553</v>
      </c>
      <c r="B104">
        <v>172.499</v>
      </c>
      <c r="C104">
        <f t="shared" si="1"/>
        <v>3.6472439304128627E-3</v>
      </c>
      <c r="D104" s="8" t="s">
        <v>30</v>
      </c>
      <c r="E104" s="8" t="s">
        <v>30</v>
      </c>
      <c r="F104" s="8" t="s">
        <v>30</v>
      </c>
      <c r="G104" s="8" t="s">
        <v>30</v>
      </c>
      <c r="H104" s="8" t="s">
        <v>30</v>
      </c>
    </row>
    <row r="105" spans="1:8" x14ac:dyDescent="0.2">
      <c r="A105" s="1">
        <v>44557</v>
      </c>
      <c r="B105">
        <v>176.465</v>
      </c>
      <c r="C105">
        <f t="shared" si="1"/>
        <v>2.2731117072802665E-2</v>
      </c>
      <c r="D105" s="8" t="s">
        <v>30</v>
      </c>
      <c r="E105" s="8" t="s">
        <v>30</v>
      </c>
      <c r="F105" s="8" t="s">
        <v>30</v>
      </c>
      <c r="G105" s="8" t="s">
        <v>30</v>
      </c>
      <c r="H105" s="8" t="s">
        <v>30</v>
      </c>
    </row>
    <row r="106" spans="1:8" x14ac:dyDescent="0.2">
      <c r="A106" s="1">
        <v>44558</v>
      </c>
      <c r="B106">
        <v>175.44200000000001</v>
      </c>
      <c r="C106">
        <f t="shared" si="1"/>
        <v>-5.8140524725094865E-3</v>
      </c>
      <c r="D106" s="8" t="s">
        <v>30</v>
      </c>
      <c r="E106" s="8" t="s">
        <v>30</v>
      </c>
      <c r="F106" s="8" t="s">
        <v>30</v>
      </c>
      <c r="G106" s="8" t="s">
        <v>30</v>
      </c>
      <c r="H106" s="8" t="s">
        <v>30</v>
      </c>
    </row>
    <row r="107" spans="1:8" x14ac:dyDescent="0.2">
      <c r="A107" s="1">
        <v>44559</v>
      </c>
      <c r="B107">
        <v>175.53</v>
      </c>
      <c r="C107">
        <f t="shared" si="1"/>
        <v>5.0146451479938408E-4</v>
      </c>
      <c r="D107" s="8" t="s">
        <v>30</v>
      </c>
      <c r="E107" s="8" t="s">
        <v>30</v>
      </c>
      <c r="F107" s="8" t="s">
        <v>30</v>
      </c>
      <c r="G107" s="8" t="s">
        <v>30</v>
      </c>
      <c r="H107" s="8" t="s">
        <v>30</v>
      </c>
    </row>
    <row r="108" spans="1:8" x14ac:dyDescent="0.2">
      <c r="A108" s="1">
        <v>44560</v>
      </c>
      <c r="B108">
        <v>174.374</v>
      </c>
      <c r="C108">
        <f t="shared" si="1"/>
        <v>-6.6075506760933309E-3</v>
      </c>
      <c r="D108" s="8" t="s">
        <v>30</v>
      </c>
      <c r="E108" s="8" t="s">
        <v>30</v>
      </c>
      <c r="F108" s="8" t="s">
        <v>30</v>
      </c>
      <c r="G108" s="8" t="s">
        <v>30</v>
      </c>
      <c r="H108" s="8" t="s">
        <v>30</v>
      </c>
    </row>
    <row r="109" spans="1:8" x14ac:dyDescent="0.2">
      <c r="A109" s="1">
        <v>44561</v>
      </c>
      <c r="B109">
        <v>173.755</v>
      </c>
      <c r="C109">
        <f t="shared" si="1"/>
        <v>-3.5561567828916508E-3</v>
      </c>
      <c r="D109" s="8" t="s">
        <v>30</v>
      </c>
      <c r="E109" s="8" t="s">
        <v>30</v>
      </c>
      <c r="F109" s="8" t="s">
        <v>30</v>
      </c>
      <c r="G109" s="8" t="s">
        <v>30</v>
      </c>
      <c r="H109" s="8" t="s">
        <v>30</v>
      </c>
    </row>
    <row r="110" spans="1:8" x14ac:dyDescent="0.2">
      <c r="A110" s="1">
        <v>44564</v>
      </c>
      <c r="B110">
        <v>178.101</v>
      </c>
      <c r="C110">
        <f t="shared" si="1"/>
        <v>2.4704544093716536E-2</v>
      </c>
      <c r="D110" s="8" t="s">
        <v>30</v>
      </c>
      <c r="E110" s="8" t="s">
        <v>30</v>
      </c>
      <c r="F110" s="8" t="s">
        <v>30</v>
      </c>
      <c r="G110" s="8" t="s">
        <v>30</v>
      </c>
      <c r="H110" s="8" t="s">
        <v>30</v>
      </c>
    </row>
    <row r="111" spans="1:8" x14ac:dyDescent="0.2">
      <c r="A111" s="1">
        <v>44565</v>
      </c>
      <c r="B111">
        <v>175.846</v>
      </c>
      <c r="C111">
        <f t="shared" si="1"/>
        <v>-1.274219310078809E-2</v>
      </c>
      <c r="D111" s="8" t="s">
        <v>30</v>
      </c>
      <c r="E111" s="8" t="s">
        <v>30</v>
      </c>
      <c r="F111" s="8" t="s">
        <v>30</v>
      </c>
      <c r="G111" s="8" t="s">
        <v>30</v>
      </c>
      <c r="H111" s="8" t="s">
        <v>30</v>
      </c>
    </row>
    <row r="112" spans="1:8" x14ac:dyDescent="0.2">
      <c r="A112" s="1">
        <v>44566</v>
      </c>
      <c r="B112">
        <v>171.166</v>
      </c>
      <c r="C112">
        <f t="shared" si="1"/>
        <v>-2.6974766148617459E-2</v>
      </c>
      <c r="D112" s="8" t="s">
        <v>30</v>
      </c>
      <c r="E112" s="8" t="s">
        <v>30</v>
      </c>
      <c r="F112" s="8" t="s">
        <v>30</v>
      </c>
      <c r="G112" s="8" t="s">
        <v>30</v>
      </c>
      <c r="H112" s="8" t="s">
        <v>30</v>
      </c>
    </row>
    <row r="113" spans="1:8" x14ac:dyDescent="0.2">
      <c r="A113" s="1">
        <v>44567</v>
      </c>
      <c r="B113">
        <v>168.31</v>
      </c>
      <c r="C113">
        <f t="shared" si="1"/>
        <v>-1.6826328715505535E-2</v>
      </c>
      <c r="D113" s="8" t="s">
        <v>30</v>
      </c>
      <c r="E113" s="8" t="s">
        <v>30</v>
      </c>
      <c r="F113" s="8" t="s">
        <v>30</v>
      </c>
      <c r="G113" s="8" t="s">
        <v>30</v>
      </c>
      <c r="H113" s="8" t="s">
        <v>30</v>
      </c>
    </row>
    <row r="114" spans="1:8" x14ac:dyDescent="0.2">
      <c r="A114" s="1">
        <v>44568</v>
      </c>
      <c r="B114">
        <v>168.477</v>
      </c>
      <c r="C114">
        <f t="shared" si="1"/>
        <v>9.9172482125075385E-4</v>
      </c>
      <c r="D114" s="8" t="s">
        <v>30</v>
      </c>
      <c r="E114" s="8" t="s">
        <v>30</v>
      </c>
      <c r="F114" s="8" t="s">
        <v>30</v>
      </c>
      <c r="G114" s="8" t="s">
        <v>30</v>
      </c>
      <c r="H114" s="8" t="s">
        <v>30</v>
      </c>
    </row>
    <row r="115" spans="1:8" x14ac:dyDescent="0.2">
      <c r="A115" s="1">
        <v>44571</v>
      </c>
      <c r="B115">
        <v>168.49700000000001</v>
      </c>
      <c r="C115">
        <f t="shared" si="1"/>
        <v>1.1870352029237362E-4</v>
      </c>
      <c r="D115" s="8" t="s">
        <v>30</v>
      </c>
      <c r="E115" s="8" t="s">
        <v>30</v>
      </c>
      <c r="F115" s="8" t="s">
        <v>30</v>
      </c>
      <c r="G115" s="8" t="s">
        <v>30</v>
      </c>
      <c r="H115" s="8" t="s">
        <v>30</v>
      </c>
    </row>
    <row r="116" spans="1:8" x14ac:dyDescent="0.2">
      <c r="A116" s="1">
        <v>44572</v>
      </c>
      <c r="B116">
        <v>171.322</v>
      </c>
      <c r="C116">
        <f t="shared" si="1"/>
        <v>1.6626881259649038E-2</v>
      </c>
      <c r="D116" s="8" t="s">
        <v>30</v>
      </c>
      <c r="E116" s="8" t="s">
        <v>30</v>
      </c>
      <c r="F116" s="8" t="s">
        <v>30</v>
      </c>
      <c r="G116" s="8" t="s">
        <v>30</v>
      </c>
      <c r="H116" s="8" t="s">
        <v>30</v>
      </c>
    </row>
    <row r="117" spans="1:8" x14ac:dyDescent="0.2">
      <c r="A117" s="1">
        <v>44573</v>
      </c>
      <c r="B117">
        <v>171.762</v>
      </c>
      <c r="C117">
        <f t="shared" si="1"/>
        <v>2.5649709181001876E-3</v>
      </c>
      <c r="D117" s="8" t="s">
        <v>30</v>
      </c>
      <c r="E117" s="8" t="s">
        <v>30</v>
      </c>
      <c r="F117" s="8" t="s">
        <v>30</v>
      </c>
      <c r="G117" s="8" t="s">
        <v>30</v>
      </c>
      <c r="H117" s="8" t="s">
        <v>30</v>
      </c>
    </row>
    <row r="118" spans="1:8" x14ac:dyDescent="0.2">
      <c r="A118" s="1">
        <v>44574</v>
      </c>
      <c r="B118">
        <v>168.49700000000001</v>
      </c>
      <c r="C118">
        <f t="shared" si="1"/>
        <v>-1.9191852177749297E-2</v>
      </c>
      <c r="D118" s="8" t="s">
        <v>30</v>
      </c>
      <c r="E118" s="8" t="s">
        <v>30</v>
      </c>
      <c r="F118" s="8" t="s">
        <v>30</v>
      </c>
      <c r="G118" s="8" t="s">
        <v>30</v>
      </c>
      <c r="H118" s="8" t="s">
        <v>30</v>
      </c>
    </row>
    <row r="119" spans="1:8" x14ac:dyDescent="0.2">
      <c r="A119" s="1">
        <v>44575</v>
      </c>
      <c r="B119">
        <v>169.363</v>
      </c>
      <c r="C119">
        <f t="shared" si="1"/>
        <v>5.1263949359719669E-3</v>
      </c>
      <c r="D119" s="8" t="s">
        <v>30</v>
      </c>
      <c r="E119" s="8" t="s">
        <v>30</v>
      </c>
      <c r="F119" s="8" t="s">
        <v>30</v>
      </c>
      <c r="G119" s="8" t="s">
        <v>30</v>
      </c>
      <c r="H119" s="8" t="s">
        <v>30</v>
      </c>
    </row>
    <row r="120" spans="1:8" x14ac:dyDescent="0.2">
      <c r="A120" s="1">
        <v>44579</v>
      </c>
      <c r="B120">
        <v>166.15100000000001</v>
      </c>
      <c r="C120">
        <f t="shared" si="1"/>
        <v>-1.9147326975259366E-2</v>
      </c>
      <c r="D120" s="8" t="s">
        <v>30</v>
      </c>
      <c r="E120" s="8" t="s">
        <v>30</v>
      </c>
      <c r="F120" s="8" t="s">
        <v>30</v>
      </c>
      <c r="G120" s="8" t="s">
        <v>30</v>
      </c>
      <c r="H120" s="8" t="s">
        <v>30</v>
      </c>
    </row>
    <row r="121" spans="1:8" x14ac:dyDescent="0.2">
      <c r="A121" s="1">
        <v>44580</v>
      </c>
      <c r="B121">
        <v>162.667</v>
      </c>
      <c r="C121">
        <f t="shared" si="1"/>
        <v>-2.1191847077064809E-2</v>
      </c>
      <c r="D121" s="8" t="s">
        <v>30</v>
      </c>
      <c r="E121" s="8" t="s">
        <v>30</v>
      </c>
      <c r="F121" s="8" t="s">
        <v>30</v>
      </c>
      <c r="G121" s="8" t="s">
        <v>30</v>
      </c>
      <c r="H121" s="8" t="s">
        <v>30</v>
      </c>
    </row>
    <row r="122" spans="1:8" x14ac:dyDescent="0.2">
      <c r="A122" s="1">
        <v>44581</v>
      </c>
      <c r="B122">
        <v>160.97900000000001</v>
      </c>
      <c r="C122">
        <f t="shared" si="1"/>
        <v>-1.0431244668767438E-2</v>
      </c>
      <c r="D122" s="8" t="s">
        <v>30</v>
      </c>
      <c r="E122" s="8" t="s">
        <v>30</v>
      </c>
      <c r="F122" s="8" t="s">
        <v>30</v>
      </c>
      <c r="G122" s="8" t="s">
        <v>30</v>
      </c>
      <c r="H122" s="8" t="s">
        <v>30</v>
      </c>
    </row>
    <row r="123" spans="1:8" x14ac:dyDescent="0.2">
      <c r="A123" s="1">
        <v>44582</v>
      </c>
      <c r="B123">
        <v>158.91800000000001</v>
      </c>
      <c r="C123">
        <f t="shared" si="1"/>
        <v>-1.2885575775692942E-2</v>
      </c>
      <c r="D123" s="8" t="s">
        <v>30</v>
      </c>
      <c r="E123" s="8" t="s">
        <v>30</v>
      </c>
      <c r="F123" s="8" t="s">
        <v>30</v>
      </c>
      <c r="G123" s="8" t="s">
        <v>30</v>
      </c>
      <c r="H123" s="8" t="s">
        <v>30</v>
      </c>
    </row>
    <row r="124" spans="1:8" x14ac:dyDescent="0.2">
      <c r="A124" s="1">
        <v>44585</v>
      </c>
      <c r="B124">
        <v>158.142</v>
      </c>
      <c r="C124">
        <f t="shared" si="1"/>
        <v>-4.8949823343709233E-3</v>
      </c>
      <c r="D124" s="8" t="s">
        <v>30</v>
      </c>
      <c r="E124" s="8" t="s">
        <v>30</v>
      </c>
      <c r="F124" s="8" t="s">
        <v>30</v>
      </c>
      <c r="G124" s="8" t="s">
        <v>30</v>
      </c>
      <c r="H124" s="8" t="s">
        <v>30</v>
      </c>
    </row>
    <row r="125" spans="1:8" x14ac:dyDescent="0.2">
      <c r="A125" s="1">
        <v>44586</v>
      </c>
      <c r="B125">
        <v>156.357</v>
      </c>
      <c r="C125">
        <f t="shared" si="1"/>
        <v>-1.1351509336452587E-2</v>
      </c>
      <c r="D125" s="8" t="s">
        <v>30</v>
      </c>
      <c r="E125" s="8" t="s">
        <v>30</v>
      </c>
      <c r="F125" s="8" t="s">
        <v>30</v>
      </c>
      <c r="G125" s="8" t="s">
        <v>30</v>
      </c>
      <c r="H125" s="8" t="s">
        <v>30</v>
      </c>
    </row>
    <row r="126" spans="1:8" x14ac:dyDescent="0.2">
      <c r="A126" s="1">
        <v>44587</v>
      </c>
      <c r="B126">
        <v>156.26900000000001</v>
      </c>
      <c r="C126">
        <f t="shared" si="1"/>
        <v>-5.6297302415157639E-4</v>
      </c>
      <c r="D126" s="8" t="s">
        <v>30</v>
      </c>
      <c r="E126" s="8" t="s">
        <v>30</v>
      </c>
      <c r="F126" s="8" t="s">
        <v>30</v>
      </c>
      <c r="G126" s="8" t="s">
        <v>30</v>
      </c>
      <c r="H126" s="8" t="s">
        <v>30</v>
      </c>
    </row>
    <row r="127" spans="1:8" x14ac:dyDescent="0.2">
      <c r="A127" s="1">
        <v>44588</v>
      </c>
      <c r="B127">
        <v>155.809</v>
      </c>
      <c r="C127">
        <f t="shared" si="1"/>
        <v>-2.947983088457284E-3</v>
      </c>
      <c r="D127" s="8" t="s">
        <v>30</v>
      </c>
      <c r="E127" s="8" t="s">
        <v>30</v>
      </c>
      <c r="F127" s="8" t="s">
        <v>30</v>
      </c>
      <c r="G127" s="8" t="s">
        <v>30</v>
      </c>
      <c r="H127" s="8" t="s">
        <v>30</v>
      </c>
    </row>
    <row r="128" spans="1:8" x14ac:dyDescent="0.2">
      <c r="A128" s="1">
        <v>44589</v>
      </c>
      <c r="B128">
        <v>166.66900000000001</v>
      </c>
      <c r="C128">
        <f t="shared" si="1"/>
        <v>6.7378911520710225E-2</v>
      </c>
      <c r="D128" s="8" t="s">
        <v>30</v>
      </c>
      <c r="E128" s="8" t="s">
        <v>30</v>
      </c>
      <c r="F128" s="8" t="s">
        <v>30</v>
      </c>
      <c r="G128" s="8" t="s">
        <v>30</v>
      </c>
      <c r="H128" s="8" t="s">
        <v>30</v>
      </c>
    </row>
    <row r="129" spans="1:8" x14ac:dyDescent="0.2">
      <c r="A129" s="1">
        <v>44592</v>
      </c>
      <c r="B129">
        <v>171.02699999999999</v>
      </c>
      <c r="C129">
        <f t="shared" si="1"/>
        <v>2.5811629119356881E-2</v>
      </c>
      <c r="D129" s="8" t="s">
        <v>30</v>
      </c>
      <c r="E129" s="8" t="s">
        <v>30</v>
      </c>
      <c r="F129" s="8" t="s">
        <v>30</v>
      </c>
      <c r="G129" s="8" t="s">
        <v>30</v>
      </c>
      <c r="H129" s="8" t="s">
        <v>30</v>
      </c>
    </row>
    <row r="130" spans="1:8" x14ac:dyDescent="0.2">
      <c r="A130" s="1">
        <v>44593</v>
      </c>
      <c r="B130">
        <v>170.86</v>
      </c>
      <c r="C130">
        <f t="shared" si="1"/>
        <v>-9.7693105196728323E-4</v>
      </c>
      <c r="D130" s="8" t="s">
        <v>30</v>
      </c>
      <c r="E130" s="8" t="s">
        <v>30</v>
      </c>
      <c r="F130" s="8" t="s">
        <v>30</v>
      </c>
      <c r="G130" s="8" t="s">
        <v>30</v>
      </c>
      <c r="H130" s="8" t="s">
        <v>30</v>
      </c>
    </row>
    <row r="131" spans="1:8" x14ac:dyDescent="0.2">
      <c r="A131" s="1">
        <v>44594</v>
      </c>
      <c r="B131">
        <v>172.06800000000001</v>
      </c>
      <c r="C131">
        <f t="shared" ref="C131:C194" si="2">LN(B131/B130)</f>
        <v>7.0452397974299181E-3</v>
      </c>
      <c r="D131" s="8" t="s">
        <v>30</v>
      </c>
      <c r="E131" s="8" t="s">
        <v>30</v>
      </c>
      <c r="F131" s="8" t="s">
        <v>30</v>
      </c>
      <c r="G131" s="8" t="s">
        <v>30</v>
      </c>
      <c r="H131" s="8" t="s">
        <v>30</v>
      </c>
    </row>
    <row r="132" spans="1:8" x14ac:dyDescent="0.2">
      <c r="A132" s="1">
        <v>44595</v>
      </c>
      <c r="B132">
        <v>169.19399999999999</v>
      </c>
      <c r="C132">
        <f t="shared" si="2"/>
        <v>-1.6843761970443405E-2</v>
      </c>
      <c r="D132" s="8" t="s">
        <v>30</v>
      </c>
      <c r="E132" s="8" t="s">
        <v>30</v>
      </c>
      <c r="F132" s="8" t="s">
        <v>30</v>
      </c>
      <c r="G132" s="8" t="s">
        <v>30</v>
      </c>
      <c r="H132" s="8" t="s">
        <v>30</v>
      </c>
    </row>
    <row r="133" spans="1:8" x14ac:dyDescent="0.2">
      <c r="A133" s="1">
        <v>44596</v>
      </c>
      <c r="B133">
        <v>168.90600000000001</v>
      </c>
      <c r="C133">
        <f t="shared" si="2"/>
        <v>-1.7036383889806593E-3</v>
      </c>
      <c r="D133" s="8" t="s">
        <v>30</v>
      </c>
      <c r="E133" s="8" t="s">
        <v>30</v>
      </c>
      <c r="F133" s="8" t="s">
        <v>30</v>
      </c>
      <c r="G133" s="8" t="s">
        <v>30</v>
      </c>
      <c r="H133" s="8" t="s">
        <v>30</v>
      </c>
    </row>
    <row r="134" spans="1:8" x14ac:dyDescent="0.2">
      <c r="A134" s="1">
        <v>44599</v>
      </c>
      <c r="B134">
        <v>168.191</v>
      </c>
      <c r="C134">
        <f t="shared" si="2"/>
        <v>-4.2421087831145564E-3</v>
      </c>
      <c r="D134" s="8" t="s">
        <v>30</v>
      </c>
      <c r="E134" s="8" t="s">
        <v>30</v>
      </c>
      <c r="F134" s="8" t="s">
        <v>30</v>
      </c>
      <c r="G134" s="8" t="s">
        <v>30</v>
      </c>
      <c r="H134" s="8" t="s">
        <v>30</v>
      </c>
    </row>
    <row r="135" spans="1:8" x14ac:dyDescent="0.2">
      <c r="A135" s="1">
        <v>44600</v>
      </c>
      <c r="B135">
        <v>171.29300000000001</v>
      </c>
      <c r="C135">
        <f t="shared" si="2"/>
        <v>1.8275302135435836E-2</v>
      </c>
      <c r="D135" s="8" t="s">
        <v>30</v>
      </c>
      <c r="E135" s="8" t="s">
        <v>30</v>
      </c>
      <c r="F135" s="8" t="s">
        <v>30</v>
      </c>
      <c r="G135" s="8" t="s">
        <v>30</v>
      </c>
      <c r="H135" s="8" t="s">
        <v>30</v>
      </c>
    </row>
    <row r="136" spans="1:8" x14ac:dyDescent="0.2">
      <c r="A136" s="1">
        <v>44601</v>
      </c>
      <c r="B136">
        <v>172.715</v>
      </c>
      <c r="C136">
        <f t="shared" si="2"/>
        <v>8.2672966864248063E-3</v>
      </c>
      <c r="D136" s="8" t="s">
        <v>30</v>
      </c>
      <c r="E136" s="8" t="s">
        <v>30</v>
      </c>
      <c r="F136" s="8" t="s">
        <v>30</v>
      </c>
      <c r="G136" s="8" t="s">
        <v>30</v>
      </c>
      <c r="H136" s="8" t="s">
        <v>30</v>
      </c>
    </row>
    <row r="137" spans="1:8" x14ac:dyDescent="0.2">
      <c r="A137" s="1">
        <v>44602</v>
      </c>
      <c r="B137">
        <v>168.64400000000001</v>
      </c>
      <c r="C137">
        <f t="shared" si="2"/>
        <v>-2.3852852963436595E-2</v>
      </c>
      <c r="D137" s="8" t="s">
        <v>30</v>
      </c>
      <c r="E137" s="8" t="s">
        <v>30</v>
      </c>
      <c r="F137" s="8" t="s">
        <v>30</v>
      </c>
      <c r="G137" s="8" t="s">
        <v>30</v>
      </c>
      <c r="H137" s="8" t="s">
        <v>30</v>
      </c>
    </row>
    <row r="138" spans="1:8" x14ac:dyDescent="0.2">
      <c r="A138" s="1">
        <v>44603</v>
      </c>
      <c r="B138">
        <v>165.227</v>
      </c>
      <c r="C138">
        <f t="shared" si="2"/>
        <v>-2.0469698247828419E-2</v>
      </c>
      <c r="D138" s="8" t="s">
        <v>30</v>
      </c>
      <c r="E138" s="8" t="s">
        <v>30</v>
      </c>
      <c r="F138" s="8" t="s">
        <v>30</v>
      </c>
      <c r="G138" s="8" t="s">
        <v>30</v>
      </c>
      <c r="H138" s="8" t="s">
        <v>30</v>
      </c>
    </row>
    <row r="139" spans="1:8" x14ac:dyDescent="0.2">
      <c r="A139" s="1">
        <v>44606</v>
      </c>
      <c r="B139">
        <v>165.46299999999999</v>
      </c>
      <c r="C139">
        <f t="shared" si="2"/>
        <v>1.4273188791054296E-3</v>
      </c>
      <c r="D139" s="8" t="s">
        <v>30</v>
      </c>
      <c r="E139" s="8" t="s">
        <v>30</v>
      </c>
      <c r="F139" s="8" t="s">
        <v>30</v>
      </c>
      <c r="G139" s="8" t="s">
        <v>30</v>
      </c>
      <c r="H139" s="8" t="s">
        <v>30</v>
      </c>
    </row>
    <row r="140" spans="1:8" x14ac:dyDescent="0.2">
      <c r="A140" s="1">
        <v>44607</v>
      </c>
      <c r="B140">
        <v>169.303</v>
      </c>
      <c r="C140">
        <f t="shared" si="2"/>
        <v>2.2942404137653631E-2</v>
      </c>
      <c r="D140" s="8" t="s">
        <v>30</v>
      </c>
      <c r="E140" s="8" t="s">
        <v>30</v>
      </c>
      <c r="F140" s="8" t="s">
        <v>30</v>
      </c>
      <c r="G140" s="8" t="s">
        <v>30</v>
      </c>
      <c r="H140" s="8" t="s">
        <v>30</v>
      </c>
    </row>
    <row r="141" spans="1:8" x14ac:dyDescent="0.2">
      <c r="A141" s="1">
        <v>44608</v>
      </c>
      <c r="B141">
        <v>169.065</v>
      </c>
      <c r="C141">
        <f t="shared" si="2"/>
        <v>-1.4067526435669537E-3</v>
      </c>
      <c r="D141" s="8" t="s">
        <v>30</v>
      </c>
      <c r="E141" s="8" t="s">
        <v>30</v>
      </c>
      <c r="F141" s="8" t="s">
        <v>30</v>
      </c>
      <c r="G141" s="8" t="s">
        <v>30</v>
      </c>
      <c r="H141" s="8" t="s">
        <v>30</v>
      </c>
    </row>
    <row r="142" spans="1:8" x14ac:dyDescent="0.2">
      <c r="A142" s="1">
        <v>44609</v>
      </c>
      <c r="B142">
        <v>165.46299999999999</v>
      </c>
      <c r="C142">
        <f t="shared" si="2"/>
        <v>-2.1535651494086632E-2</v>
      </c>
      <c r="D142" s="8" t="s">
        <v>30</v>
      </c>
      <c r="E142" s="8" t="s">
        <v>30</v>
      </c>
      <c r="F142" s="8" t="s">
        <v>30</v>
      </c>
      <c r="G142" s="8" t="s">
        <v>30</v>
      </c>
      <c r="H142" s="8" t="s">
        <v>30</v>
      </c>
    </row>
    <row r="143" spans="1:8" x14ac:dyDescent="0.2">
      <c r="A143" s="1">
        <v>44610</v>
      </c>
      <c r="B143">
        <v>163.91399999999999</v>
      </c>
      <c r="C143">
        <f t="shared" si="2"/>
        <v>-9.405704828418392E-3</v>
      </c>
      <c r="D143" s="8" t="s">
        <v>30</v>
      </c>
      <c r="E143" s="8" t="s">
        <v>30</v>
      </c>
      <c r="F143" s="8" t="s">
        <v>30</v>
      </c>
      <c r="G143" s="8" t="s">
        <v>30</v>
      </c>
      <c r="H143" s="8" t="s">
        <v>30</v>
      </c>
    </row>
    <row r="144" spans="1:8" x14ac:dyDescent="0.2">
      <c r="A144" s="1">
        <v>44614</v>
      </c>
      <c r="B144">
        <v>160.999</v>
      </c>
      <c r="C144">
        <f t="shared" si="2"/>
        <v>-1.7943746254597298E-2</v>
      </c>
      <c r="D144" s="8" t="s">
        <v>30</v>
      </c>
      <c r="E144" s="8" t="s">
        <v>30</v>
      </c>
      <c r="F144" s="8" t="s">
        <v>30</v>
      </c>
      <c r="G144" s="8" t="s">
        <v>30</v>
      </c>
      <c r="H144" s="8" t="s">
        <v>30</v>
      </c>
    </row>
    <row r="145" spans="1:8" x14ac:dyDescent="0.2">
      <c r="A145" s="1">
        <v>44615</v>
      </c>
      <c r="B145">
        <v>156.84</v>
      </c>
      <c r="C145">
        <f t="shared" si="2"/>
        <v>-2.6171976360918375E-2</v>
      </c>
      <c r="D145" s="8" t="s">
        <v>30</v>
      </c>
      <c r="E145" s="8" t="s">
        <v>30</v>
      </c>
      <c r="F145" s="8" t="s">
        <v>30</v>
      </c>
      <c r="G145" s="8" t="s">
        <v>30</v>
      </c>
      <c r="H145" s="8" t="s">
        <v>30</v>
      </c>
    </row>
    <row r="146" spans="1:8" x14ac:dyDescent="0.2">
      <c r="A146" s="1">
        <v>44616</v>
      </c>
      <c r="B146">
        <v>159.44999999999999</v>
      </c>
      <c r="C146">
        <f t="shared" si="2"/>
        <v>1.6504216031935564E-2</v>
      </c>
      <c r="D146" s="8" t="s">
        <v>30</v>
      </c>
      <c r="E146" s="8" t="s">
        <v>30</v>
      </c>
      <c r="F146" s="8" t="s">
        <v>30</v>
      </c>
      <c r="G146" s="8" t="s">
        <v>30</v>
      </c>
      <c r="H146" s="8" t="s">
        <v>30</v>
      </c>
    </row>
    <row r="147" spans="1:8" x14ac:dyDescent="0.2">
      <c r="A147" s="1">
        <v>44617</v>
      </c>
      <c r="B147">
        <v>161.52000000000001</v>
      </c>
      <c r="C147">
        <f t="shared" si="2"/>
        <v>1.289858054851554E-2</v>
      </c>
      <c r="D147" s="8" t="s">
        <v>30</v>
      </c>
      <c r="E147" s="8" t="s">
        <v>30</v>
      </c>
      <c r="F147" s="8" t="s">
        <v>30</v>
      </c>
      <c r="G147" s="8" t="s">
        <v>30</v>
      </c>
      <c r="H147" s="8" t="s">
        <v>30</v>
      </c>
    </row>
    <row r="148" spans="1:8" x14ac:dyDescent="0.2">
      <c r="A148" s="1">
        <v>44620</v>
      </c>
      <c r="B148">
        <v>161.78399999999999</v>
      </c>
      <c r="C148">
        <f t="shared" si="2"/>
        <v>1.6331382146653668E-3</v>
      </c>
      <c r="D148" s="8" t="s">
        <v>30</v>
      </c>
      <c r="E148" s="8" t="s">
        <v>30</v>
      </c>
      <c r="F148" s="8" t="s">
        <v>30</v>
      </c>
      <c r="G148" s="8" t="s">
        <v>30</v>
      </c>
      <c r="H148" s="8" t="s">
        <v>30</v>
      </c>
    </row>
    <row r="149" spans="1:8" x14ac:dyDescent="0.2">
      <c r="A149" s="1">
        <v>44621</v>
      </c>
      <c r="B149">
        <v>159.899</v>
      </c>
      <c r="C149">
        <f t="shared" si="2"/>
        <v>-1.1719746307587523E-2</v>
      </c>
      <c r="D149" s="8" t="s">
        <v>30</v>
      </c>
      <c r="E149" s="8" t="s">
        <v>30</v>
      </c>
      <c r="F149" s="8" t="s">
        <v>30</v>
      </c>
      <c r="G149" s="8" t="s">
        <v>30</v>
      </c>
      <c r="H149" s="8" t="s">
        <v>30</v>
      </c>
    </row>
    <row r="150" spans="1:8" x14ac:dyDescent="0.2">
      <c r="A150" s="1">
        <v>44622</v>
      </c>
      <c r="B150">
        <v>163.196</v>
      </c>
      <c r="C150">
        <f t="shared" si="2"/>
        <v>2.0409566514055042E-2</v>
      </c>
      <c r="D150" s="8" t="s">
        <v>30</v>
      </c>
      <c r="E150" s="8" t="s">
        <v>30</v>
      </c>
      <c r="F150" s="8" t="s">
        <v>30</v>
      </c>
      <c r="G150" s="8" t="s">
        <v>30</v>
      </c>
      <c r="H150" s="8" t="s">
        <v>30</v>
      </c>
    </row>
    <row r="151" spans="1:8" x14ac:dyDescent="0.2">
      <c r="A151" s="1">
        <v>44623</v>
      </c>
      <c r="B151">
        <v>162.87299999999999</v>
      </c>
      <c r="C151">
        <f t="shared" si="2"/>
        <v>-1.9811764114315311E-3</v>
      </c>
      <c r="D151" s="8" t="s">
        <v>30</v>
      </c>
      <c r="E151" s="8" t="s">
        <v>30</v>
      </c>
      <c r="F151" s="8" t="s">
        <v>30</v>
      </c>
      <c r="G151" s="8" t="s">
        <v>30</v>
      </c>
      <c r="H151" s="8" t="s">
        <v>30</v>
      </c>
    </row>
    <row r="152" spans="1:8" x14ac:dyDescent="0.2">
      <c r="A152" s="1">
        <v>44624</v>
      </c>
      <c r="B152">
        <v>159.87</v>
      </c>
      <c r="C152">
        <f t="shared" si="2"/>
        <v>-1.8609771037482757E-2</v>
      </c>
      <c r="D152" s="8" t="s">
        <v>30</v>
      </c>
      <c r="E152" s="8" t="s">
        <v>30</v>
      </c>
      <c r="F152" s="8" t="s">
        <v>30</v>
      </c>
      <c r="G152" s="8" t="s">
        <v>30</v>
      </c>
      <c r="H152" s="8" t="s">
        <v>30</v>
      </c>
    </row>
    <row r="153" spans="1:8" x14ac:dyDescent="0.2">
      <c r="A153" s="1">
        <v>44627</v>
      </c>
      <c r="B153">
        <v>156.084</v>
      </c>
      <c r="C153">
        <f t="shared" si="2"/>
        <v>-2.3966661107196589E-2</v>
      </c>
      <c r="D153" s="8" t="s">
        <v>30</v>
      </c>
      <c r="E153" s="8" t="s">
        <v>30</v>
      </c>
      <c r="F153" s="8" t="s">
        <v>30</v>
      </c>
      <c r="G153" s="8" t="s">
        <v>30</v>
      </c>
      <c r="H153" s="8" t="s">
        <v>30</v>
      </c>
    </row>
    <row r="154" spans="1:8" x14ac:dyDescent="0.2">
      <c r="A154" s="1">
        <v>44628</v>
      </c>
      <c r="B154">
        <v>154.25800000000001</v>
      </c>
      <c r="C154">
        <f t="shared" si="2"/>
        <v>-1.1767798571615709E-2</v>
      </c>
      <c r="D154" s="8" t="s">
        <v>30</v>
      </c>
      <c r="E154" s="8" t="s">
        <v>30</v>
      </c>
      <c r="F154" s="8" t="s">
        <v>30</v>
      </c>
      <c r="G154" s="8" t="s">
        <v>30</v>
      </c>
      <c r="H154" s="8" t="s">
        <v>30</v>
      </c>
    </row>
    <row r="155" spans="1:8" x14ac:dyDescent="0.2">
      <c r="A155" s="1">
        <v>44629</v>
      </c>
      <c r="B155">
        <v>159.654</v>
      </c>
      <c r="C155">
        <f t="shared" si="2"/>
        <v>3.4382448356327512E-2</v>
      </c>
      <c r="D155" s="8" t="s">
        <v>30</v>
      </c>
      <c r="E155" s="8" t="s">
        <v>30</v>
      </c>
      <c r="F155" s="8" t="s">
        <v>30</v>
      </c>
      <c r="G155" s="8" t="s">
        <v>30</v>
      </c>
      <c r="H155" s="8" t="s">
        <v>30</v>
      </c>
    </row>
    <row r="156" spans="1:8" x14ac:dyDescent="0.2">
      <c r="A156" s="1">
        <v>44630</v>
      </c>
      <c r="B156">
        <v>155.316</v>
      </c>
      <c r="C156">
        <f t="shared" si="2"/>
        <v>-2.7547222406014333E-2</v>
      </c>
      <c r="D156" s="8" t="s">
        <v>30</v>
      </c>
      <c r="E156" s="8" t="s">
        <v>30</v>
      </c>
      <c r="F156" s="8" t="s">
        <v>30</v>
      </c>
      <c r="G156" s="8" t="s">
        <v>30</v>
      </c>
      <c r="H156" s="8" t="s">
        <v>30</v>
      </c>
    </row>
    <row r="157" spans="1:8" x14ac:dyDescent="0.2">
      <c r="A157" s="1">
        <v>44631</v>
      </c>
      <c r="B157">
        <v>151.6</v>
      </c>
      <c r="C157">
        <f t="shared" si="2"/>
        <v>-2.4216278040030161E-2</v>
      </c>
      <c r="D157" s="8" t="s">
        <v>30</v>
      </c>
      <c r="E157" s="8" t="s">
        <v>30</v>
      </c>
      <c r="F157" s="8" t="s">
        <v>30</v>
      </c>
      <c r="G157" s="8" t="s">
        <v>30</v>
      </c>
      <c r="H157" s="8" t="s">
        <v>30</v>
      </c>
    </row>
    <row r="158" spans="1:8" x14ac:dyDescent="0.2">
      <c r="A158" s="1">
        <v>44634</v>
      </c>
      <c r="B158">
        <v>147.57499999999999</v>
      </c>
      <c r="C158">
        <f t="shared" si="2"/>
        <v>-2.6908952081518282E-2</v>
      </c>
      <c r="D158" s="8" t="s">
        <v>30</v>
      </c>
      <c r="E158" s="8" t="s">
        <v>30</v>
      </c>
      <c r="F158" s="8" t="s">
        <v>30</v>
      </c>
      <c r="G158" s="8" t="s">
        <v>30</v>
      </c>
      <c r="H158" s="8" t="s">
        <v>30</v>
      </c>
    </row>
    <row r="159" spans="1:8" x14ac:dyDescent="0.2">
      <c r="A159" s="1">
        <v>44635</v>
      </c>
      <c r="B159">
        <v>151.952</v>
      </c>
      <c r="C159">
        <f t="shared" si="2"/>
        <v>2.9228160373843595E-2</v>
      </c>
      <c r="D159" s="8" t="s">
        <v>30</v>
      </c>
      <c r="E159" s="8" t="s">
        <v>30</v>
      </c>
      <c r="F159" s="8" t="s">
        <v>30</v>
      </c>
      <c r="G159" s="8" t="s">
        <v>30</v>
      </c>
      <c r="H159" s="8" t="s">
        <v>30</v>
      </c>
    </row>
    <row r="160" spans="1:8" x14ac:dyDescent="0.2">
      <c r="A160" s="1">
        <v>44636</v>
      </c>
      <c r="B160">
        <v>156.36699999999999</v>
      </c>
      <c r="C160">
        <f t="shared" si="2"/>
        <v>2.8641126905066604E-2</v>
      </c>
      <c r="D160" s="8" t="s">
        <v>30</v>
      </c>
      <c r="E160" s="8" t="s">
        <v>30</v>
      </c>
      <c r="F160" s="8" t="s">
        <v>30</v>
      </c>
      <c r="G160" s="8" t="s">
        <v>30</v>
      </c>
      <c r="H160" s="8" t="s">
        <v>30</v>
      </c>
    </row>
    <row r="161" spans="1:8" x14ac:dyDescent="0.2">
      <c r="A161" s="1">
        <v>44637</v>
      </c>
      <c r="B161">
        <v>157.369</v>
      </c>
      <c r="C161">
        <f t="shared" si="2"/>
        <v>6.3875577356269919E-3</v>
      </c>
      <c r="D161" s="8" t="s">
        <v>30</v>
      </c>
      <c r="E161" s="8" t="s">
        <v>30</v>
      </c>
      <c r="F161" s="8" t="s">
        <v>30</v>
      </c>
      <c r="G161" s="8" t="s">
        <v>30</v>
      </c>
      <c r="H161" s="8" t="s">
        <v>30</v>
      </c>
    </row>
    <row r="162" spans="1:8" x14ac:dyDescent="0.2">
      <c r="A162" s="1">
        <v>44638</v>
      </c>
      <c r="B162">
        <v>160.666</v>
      </c>
      <c r="C162">
        <f t="shared" si="2"/>
        <v>2.0734309854998318E-2</v>
      </c>
      <c r="D162" s="8" t="s">
        <v>30</v>
      </c>
      <c r="E162" s="8" t="s">
        <v>30</v>
      </c>
      <c r="F162" s="8" t="s">
        <v>30</v>
      </c>
      <c r="G162" s="8" t="s">
        <v>30</v>
      </c>
      <c r="H162" s="8" t="s">
        <v>30</v>
      </c>
    </row>
    <row r="163" spans="1:8" x14ac:dyDescent="0.2">
      <c r="A163" s="1">
        <v>44641</v>
      </c>
      <c r="B163">
        <v>162.04</v>
      </c>
      <c r="C163">
        <f t="shared" si="2"/>
        <v>8.5155423382012804E-3</v>
      </c>
      <c r="D163" s="8" t="s">
        <v>30</v>
      </c>
      <c r="E163" s="8" t="s">
        <v>30</v>
      </c>
      <c r="F163" s="8" t="s">
        <v>30</v>
      </c>
      <c r="G163" s="8" t="s">
        <v>30</v>
      </c>
      <c r="H163" s="8" t="s">
        <v>30</v>
      </c>
    </row>
    <row r="164" spans="1:8" x14ac:dyDescent="0.2">
      <c r="A164" s="1">
        <v>44642</v>
      </c>
      <c r="B164">
        <v>165.404</v>
      </c>
      <c r="C164">
        <f t="shared" si="2"/>
        <v>2.0547747759533875E-2</v>
      </c>
      <c r="D164" s="8" t="s">
        <v>30</v>
      </c>
      <c r="E164" s="8" t="s">
        <v>30</v>
      </c>
      <c r="F164" s="8" t="s">
        <v>30</v>
      </c>
      <c r="G164" s="8" t="s">
        <v>30</v>
      </c>
      <c r="H164" s="8" t="s">
        <v>30</v>
      </c>
    </row>
    <row r="165" spans="1:8" x14ac:dyDescent="0.2">
      <c r="A165" s="1">
        <v>44643</v>
      </c>
      <c r="B165">
        <v>166.76900000000001</v>
      </c>
      <c r="C165">
        <f t="shared" si="2"/>
        <v>8.2186552391813519E-3</v>
      </c>
      <c r="D165" s="8" t="s">
        <v>30</v>
      </c>
      <c r="E165" s="8" t="s">
        <v>30</v>
      </c>
      <c r="F165" s="8" t="s">
        <v>30</v>
      </c>
      <c r="G165" s="8" t="s">
        <v>30</v>
      </c>
      <c r="H165" s="8" t="s">
        <v>30</v>
      </c>
    </row>
    <row r="166" spans="1:8" x14ac:dyDescent="0.2">
      <c r="A166" s="1">
        <v>44644</v>
      </c>
      <c r="B166">
        <v>170.547</v>
      </c>
      <c r="C166">
        <f t="shared" si="2"/>
        <v>2.2401297227224767E-2</v>
      </c>
      <c r="D166" s="8" t="s">
        <v>30</v>
      </c>
      <c r="E166" s="8" t="s">
        <v>30</v>
      </c>
      <c r="F166" s="8" t="s">
        <v>30</v>
      </c>
      <c r="G166" s="8" t="s">
        <v>30</v>
      </c>
      <c r="H166" s="8" t="s">
        <v>30</v>
      </c>
    </row>
    <row r="167" spans="1:8" x14ac:dyDescent="0.2">
      <c r="A167" s="1">
        <v>44645</v>
      </c>
      <c r="B167">
        <v>171.185</v>
      </c>
      <c r="C167">
        <f t="shared" si="2"/>
        <v>3.7339244862038793E-3</v>
      </c>
      <c r="D167" s="8" t="s">
        <v>30</v>
      </c>
      <c r="E167" s="8" t="s">
        <v>30</v>
      </c>
      <c r="F167" s="8" t="s">
        <v>30</v>
      </c>
      <c r="G167" s="8" t="s">
        <v>30</v>
      </c>
      <c r="H167" s="8" t="s">
        <v>30</v>
      </c>
    </row>
    <row r="168" spans="1:8" x14ac:dyDescent="0.2">
      <c r="A168" s="1">
        <v>44648</v>
      </c>
      <c r="B168">
        <v>172.04900000000001</v>
      </c>
      <c r="C168">
        <f t="shared" si="2"/>
        <v>5.0344769160875612E-3</v>
      </c>
      <c r="D168" s="8" t="s">
        <v>30</v>
      </c>
      <c r="E168" s="8" t="s">
        <v>30</v>
      </c>
      <c r="F168" s="8" t="s">
        <v>30</v>
      </c>
      <c r="G168" s="8" t="s">
        <v>30</v>
      </c>
      <c r="H168" s="8" t="s">
        <v>30</v>
      </c>
    </row>
    <row r="169" spans="1:8" x14ac:dyDescent="0.2">
      <c r="A169" s="1">
        <v>44649</v>
      </c>
      <c r="B169">
        <v>175.34299999999999</v>
      </c>
      <c r="C169">
        <f t="shared" si="2"/>
        <v>1.8964735666954224E-2</v>
      </c>
      <c r="D169" s="8" t="s">
        <v>30</v>
      </c>
      <c r="E169" s="8" t="s">
        <v>30</v>
      </c>
      <c r="F169" s="8" t="s">
        <v>30</v>
      </c>
      <c r="G169" s="8" t="s">
        <v>30</v>
      </c>
      <c r="H169" s="8" t="s">
        <v>30</v>
      </c>
    </row>
    <row r="170" spans="1:8" x14ac:dyDescent="0.2">
      <c r="A170" s="1">
        <v>44650</v>
      </c>
      <c r="B170">
        <v>174.17699999999999</v>
      </c>
      <c r="C170">
        <f t="shared" si="2"/>
        <v>-6.6720320752419789E-3</v>
      </c>
      <c r="D170" s="8" t="s">
        <v>30</v>
      </c>
      <c r="E170" s="8" t="s">
        <v>30</v>
      </c>
      <c r="F170" s="8" t="s">
        <v>30</v>
      </c>
      <c r="G170" s="8" t="s">
        <v>30</v>
      </c>
      <c r="H170" s="8" t="s">
        <v>30</v>
      </c>
    </row>
    <row r="171" spans="1:8" x14ac:dyDescent="0.2">
      <c r="A171" s="1">
        <v>44651</v>
      </c>
      <c r="B171">
        <v>171.07599999999999</v>
      </c>
      <c r="C171">
        <f t="shared" si="2"/>
        <v>-1.7964121343507451E-2</v>
      </c>
      <c r="D171" s="8" t="s">
        <v>30</v>
      </c>
      <c r="E171" s="8" t="s">
        <v>30</v>
      </c>
      <c r="F171" s="8" t="s">
        <v>30</v>
      </c>
      <c r="G171" s="8" t="s">
        <v>30</v>
      </c>
      <c r="H171" s="8" t="s">
        <v>30</v>
      </c>
    </row>
    <row r="172" spans="1:8" x14ac:dyDescent="0.2">
      <c r="A172" s="1">
        <v>44652</v>
      </c>
      <c r="B172">
        <v>170.78200000000001</v>
      </c>
      <c r="C172">
        <f t="shared" si="2"/>
        <v>-1.7200128268570947E-3</v>
      </c>
      <c r="D172" s="8" t="s">
        <v>30</v>
      </c>
      <c r="E172" s="8" t="s">
        <v>30</v>
      </c>
      <c r="F172" s="8" t="s">
        <v>30</v>
      </c>
      <c r="G172" s="8" t="s">
        <v>30</v>
      </c>
      <c r="H172" s="8" t="s">
        <v>30</v>
      </c>
    </row>
    <row r="173" spans="1:8" x14ac:dyDescent="0.2">
      <c r="A173" s="1">
        <v>44655</v>
      </c>
      <c r="B173">
        <v>174.833</v>
      </c>
      <c r="C173">
        <f t="shared" si="2"/>
        <v>2.3443343204662452E-2</v>
      </c>
      <c r="D173" s="8" t="s">
        <v>30</v>
      </c>
      <c r="E173" s="8" t="s">
        <v>30</v>
      </c>
      <c r="F173" s="8" t="s">
        <v>30</v>
      </c>
      <c r="G173" s="8" t="s">
        <v>30</v>
      </c>
      <c r="H173" s="8" t="s">
        <v>30</v>
      </c>
    </row>
    <row r="174" spans="1:8" x14ac:dyDescent="0.2">
      <c r="A174" s="1">
        <v>44656</v>
      </c>
      <c r="B174">
        <v>171.52</v>
      </c>
      <c r="C174">
        <f t="shared" si="2"/>
        <v>-1.9131354706294328E-2</v>
      </c>
      <c r="D174" s="8" t="s">
        <v>30</v>
      </c>
      <c r="E174" s="8" t="s">
        <v>30</v>
      </c>
      <c r="F174" s="8" t="s">
        <v>30</v>
      </c>
      <c r="G174" s="8" t="s">
        <v>30</v>
      </c>
      <c r="H174" s="8" t="s">
        <v>30</v>
      </c>
    </row>
    <row r="175" spans="1:8" x14ac:dyDescent="0.2">
      <c r="A175" s="1">
        <v>44657</v>
      </c>
      <c r="B175">
        <v>168.35900000000001</v>
      </c>
      <c r="C175">
        <f t="shared" si="2"/>
        <v>-1.8601273650831369E-2</v>
      </c>
      <c r="D175" s="8" t="s">
        <v>30</v>
      </c>
      <c r="E175" s="8" t="s">
        <v>30</v>
      </c>
      <c r="F175" s="8" t="s">
        <v>30</v>
      </c>
      <c r="G175" s="8" t="s">
        <v>30</v>
      </c>
      <c r="H175" s="8" t="s">
        <v>30</v>
      </c>
    </row>
    <row r="176" spans="1:8" x14ac:dyDescent="0.2">
      <c r="A176" s="1">
        <v>44658</v>
      </c>
      <c r="B176">
        <v>168.66200000000001</v>
      </c>
      <c r="C176">
        <f t="shared" si="2"/>
        <v>1.7981080207945819E-3</v>
      </c>
      <c r="D176" s="8" t="s">
        <v>30</v>
      </c>
      <c r="E176" s="8" t="s">
        <v>30</v>
      </c>
      <c r="F176" s="8" t="s">
        <v>30</v>
      </c>
      <c r="G176" s="8" t="s">
        <v>30</v>
      </c>
      <c r="H176" s="8" t="s">
        <v>30</v>
      </c>
    </row>
    <row r="177" spans="1:8" x14ac:dyDescent="0.2">
      <c r="A177" s="1">
        <v>44659</v>
      </c>
      <c r="B177">
        <v>166.65</v>
      </c>
      <c r="C177">
        <f t="shared" si="2"/>
        <v>-1.2000907498651738E-2</v>
      </c>
      <c r="D177" s="8" t="s">
        <v>30</v>
      </c>
      <c r="E177" s="8" t="s">
        <v>30</v>
      </c>
      <c r="F177" s="8" t="s">
        <v>30</v>
      </c>
      <c r="G177" s="8" t="s">
        <v>30</v>
      </c>
      <c r="H177" s="8" t="s">
        <v>30</v>
      </c>
    </row>
    <row r="178" spans="1:8" x14ac:dyDescent="0.2">
      <c r="A178" s="1">
        <v>44662</v>
      </c>
      <c r="B178">
        <v>162.4</v>
      </c>
      <c r="C178">
        <f t="shared" si="2"/>
        <v>-2.583337702617107E-2</v>
      </c>
      <c r="D178" s="8" t="s">
        <v>30</v>
      </c>
      <c r="E178" s="8" t="s">
        <v>30</v>
      </c>
      <c r="F178" s="8" t="s">
        <v>30</v>
      </c>
      <c r="G178" s="8" t="s">
        <v>30</v>
      </c>
      <c r="H178" s="8" t="s">
        <v>30</v>
      </c>
    </row>
    <row r="179" spans="1:8" x14ac:dyDescent="0.2">
      <c r="A179" s="1">
        <v>44663</v>
      </c>
      <c r="B179">
        <v>164.267</v>
      </c>
      <c r="C179">
        <f t="shared" si="2"/>
        <v>1.1430725042343052E-2</v>
      </c>
      <c r="D179" s="8" t="s">
        <v>30</v>
      </c>
      <c r="E179" s="8" t="s">
        <v>30</v>
      </c>
      <c r="F179" s="8" t="s">
        <v>30</v>
      </c>
      <c r="G179" s="8" t="s">
        <v>30</v>
      </c>
      <c r="H179" s="8" t="s">
        <v>30</v>
      </c>
    </row>
    <row r="180" spans="1:8" x14ac:dyDescent="0.2">
      <c r="A180" s="1">
        <v>44664</v>
      </c>
      <c r="B180">
        <v>166.95500000000001</v>
      </c>
      <c r="C180">
        <f t="shared" si="2"/>
        <v>1.6231162257830958E-2</v>
      </c>
      <c r="D180" s="8" t="s">
        <v>30</v>
      </c>
      <c r="E180" s="8" t="s">
        <v>30</v>
      </c>
      <c r="F180" s="8" t="s">
        <v>30</v>
      </c>
      <c r="G180" s="8" t="s">
        <v>30</v>
      </c>
      <c r="H180" s="8" t="s">
        <v>30</v>
      </c>
    </row>
    <row r="181" spans="1:8" x14ac:dyDescent="0.2">
      <c r="A181" s="1">
        <v>44665</v>
      </c>
      <c r="B181">
        <v>161.94999999999999</v>
      </c>
      <c r="C181">
        <f t="shared" si="2"/>
        <v>-3.0436669410413234E-2</v>
      </c>
      <c r="D181" s="8" t="s">
        <v>30</v>
      </c>
      <c r="E181" s="8" t="s">
        <v>30</v>
      </c>
      <c r="F181" s="8" t="s">
        <v>30</v>
      </c>
      <c r="G181" s="8" t="s">
        <v>30</v>
      </c>
      <c r="H181" s="8" t="s">
        <v>30</v>
      </c>
    </row>
    <row r="182" spans="1:8" x14ac:dyDescent="0.2">
      <c r="A182" s="1">
        <v>44669</v>
      </c>
      <c r="B182">
        <v>161.73400000000001</v>
      </c>
      <c r="C182">
        <f t="shared" si="2"/>
        <v>-1.3346352125066163E-3</v>
      </c>
      <c r="D182" s="8" t="s">
        <v>30</v>
      </c>
      <c r="E182" s="8" t="s">
        <v>30</v>
      </c>
      <c r="F182" s="8" t="s">
        <v>30</v>
      </c>
      <c r="G182" s="8" t="s">
        <v>30</v>
      </c>
      <c r="H182" s="8" t="s">
        <v>30</v>
      </c>
    </row>
    <row r="183" spans="1:8" x14ac:dyDescent="0.2">
      <c r="A183" s="1">
        <v>44670</v>
      </c>
      <c r="B183">
        <v>164.01400000000001</v>
      </c>
      <c r="C183">
        <f t="shared" si="2"/>
        <v>1.3998779629568282E-2</v>
      </c>
      <c r="D183" s="8" t="s">
        <v>30</v>
      </c>
      <c r="E183" s="8" t="s">
        <v>30</v>
      </c>
      <c r="F183" s="8" t="s">
        <v>30</v>
      </c>
      <c r="G183" s="8" t="s">
        <v>30</v>
      </c>
      <c r="H183" s="8" t="s">
        <v>30</v>
      </c>
    </row>
    <row r="184" spans="1:8" x14ac:dyDescent="0.2">
      <c r="A184" s="1">
        <v>44671</v>
      </c>
      <c r="B184">
        <v>163.84399999999999</v>
      </c>
      <c r="C184">
        <f t="shared" si="2"/>
        <v>-1.0370344187753571E-3</v>
      </c>
      <c r="D184" s="8" t="s">
        <v>30</v>
      </c>
      <c r="E184" s="8" t="s">
        <v>30</v>
      </c>
      <c r="F184" s="8" t="s">
        <v>30</v>
      </c>
      <c r="G184" s="8" t="s">
        <v>30</v>
      </c>
      <c r="H184" s="8" t="s">
        <v>30</v>
      </c>
    </row>
    <row r="185" spans="1:8" x14ac:dyDescent="0.2">
      <c r="A185" s="1">
        <v>44672</v>
      </c>
      <c r="B185">
        <v>163.06</v>
      </c>
      <c r="C185">
        <f t="shared" si="2"/>
        <v>-4.796524380859834E-3</v>
      </c>
      <c r="D185" s="8" t="s">
        <v>30</v>
      </c>
      <c r="E185" s="8" t="s">
        <v>30</v>
      </c>
      <c r="F185" s="8" t="s">
        <v>30</v>
      </c>
      <c r="G185" s="8" t="s">
        <v>30</v>
      </c>
      <c r="H185" s="8" t="s">
        <v>30</v>
      </c>
    </row>
    <row r="186" spans="1:8" x14ac:dyDescent="0.2">
      <c r="A186" s="1">
        <v>44673</v>
      </c>
      <c r="B186">
        <v>158.51599999999999</v>
      </c>
      <c r="C186">
        <f t="shared" si="2"/>
        <v>-2.8262696639931913E-2</v>
      </c>
      <c r="D186" s="8" t="s">
        <v>30</v>
      </c>
      <c r="E186" s="8" t="s">
        <v>30</v>
      </c>
      <c r="F186" s="8" t="s">
        <v>30</v>
      </c>
      <c r="G186" s="8" t="s">
        <v>30</v>
      </c>
      <c r="H186" s="8" t="s">
        <v>30</v>
      </c>
    </row>
    <row r="187" spans="1:8" x14ac:dyDescent="0.2">
      <c r="A187" s="1">
        <v>44676</v>
      </c>
      <c r="B187">
        <v>159.58699999999999</v>
      </c>
      <c r="C187">
        <f t="shared" si="2"/>
        <v>6.7336934692628818E-3</v>
      </c>
      <c r="D187" s="8" t="s">
        <v>30</v>
      </c>
      <c r="E187" s="8" t="s">
        <v>30</v>
      </c>
      <c r="F187" s="8" t="s">
        <v>30</v>
      </c>
      <c r="G187" s="8" t="s">
        <v>30</v>
      </c>
      <c r="H187" s="8" t="s">
        <v>30</v>
      </c>
    </row>
    <row r="188" spans="1:8" x14ac:dyDescent="0.2">
      <c r="A188" s="1">
        <v>44677</v>
      </c>
      <c r="B188">
        <v>153.62899999999999</v>
      </c>
      <c r="C188">
        <f t="shared" si="2"/>
        <v>-3.8048623088060986E-2</v>
      </c>
      <c r="D188" s="8" t="s">
        <v>30</v>
      </c>
      <c r="E188" s="8" t="s">
        <v>30</v>
      </c>
      <c r="F188" s="8" t="s">
        <v>30</v>
      </c>
      <c r="G188" s="8" t="s">
        <v>30</v>
      </c>
      <c r="H188" s="8" t="s">
        <v>30</v>
      </c>
    </row>
    <row r="189" spans="1:8" x14ac:dyDescent="0.2">
      <c r="A189" s="1">
        <v>44678</v>
      </c>
      <c r="B189">
        <v>153.40199999999999</v>
      </c>
      <c r="C189">
        <f t="shared" si="2"/>
        <v>-1.4786783182226238E-3</v>
      </c>
      <c r="D189" s="8" t="s">
        <v>30</v>
      </c>
      <c r="E189" s="8" t="s">
        <v>30</v>
      </c>
      <c r="F189" s="8" t="s">
        <v>30</v>
      </c>
      <c r="G189" s="8" t="s">
        <v>30</v>
      </c>
      <c r="H189" s="8" t="s">
        <v>30</v>
      </c>
    </row>
    <row r="190" spans="1:8" x14ac:dyDescent="0.2">
      <c r="A190" s="1">
        <v>44679</v>
      </c>
      <c r="B190">
        <v>160.333</v>
      </c>
      <c r="C190">
        <f t="shared" si="2"/>
        <v>4.4190975775599224E-2</v>
      </c>
      <c r="D190" s="8" t="s">
        <v>30</v>
      </c>
      <c r="E190" s="8" t="s">
        <v>30</v>
      </c>
      <c r="F190" s="8" t="s">
        <v>30</v>
      </c>
      <c r="G190" s="8" t="s">
        <v>30</v>
      </c>
      <c r="H190" s="8" t="s">
        <v>30</v>
      </c>
    </row>
    <row r="191" spans="1:8" x14ac:dyDescent="0.2">
      <c r="A191" s="1">
        <v>44680</v>
      </c>
      <c r="B191">
        <v>154.464</v>
      </c>
      <c r="C191">
        <f t="shared" si="2"/>
        <v>-3.729184295532894E-2</v>
      </c>
      <c r="D191" s="8" t="s">
        <v>30</v>
      </c>
      <c r="E191" s="8" t="s">
        <v>30</v>
      </c>
      <c r="F191" s="8" t="s">
        <v>30</v>
      </c>
      <c r="G191" s="8" t="s">
        <v>30</v>
      </c>
      <c r="H191" s="8" t="s">
        <v>30</v>
      </c>
    </row>
    <row r="192" spans="1:8" x14ac:dyDescent="0.2">
      <c r="A192" s="1">
        <v>44683</v>
      </c>
      <c r="B192">
        <v>154.768</v>
      </c>
      <c r="C192">
        <f t="shared" si="2"/>
        <v>1.9661619621089131E-3</v>
      </c>
      <c r="D192" s="8" t="s">
        <v>30</v>
      </c>
      <c r="E192" s="8" t="s">
        <v>30</v>
      </c>
      <c r="F192" s="8" t="s">
        <v>30</v>
      </c>
      <c r="G192" s="8" t="s">
        <v>30</v>
      </c>
      <c r="H192" s="8" t="s">
        <v>30</v>
      </c>
    </row>
    <row r="193" spans="1:8" x14ac:dyDescent="0.2">
      <c r="A193" s="1">
        <v>44684</v>
      </c>
      <c r="B193">
        <v>156.25899999999999</v>
      </c>
      <c r="C193">
        <f t="shared" si="2"/>
        <v>9.5876655175033531E-3</v>
      </c>
      <c r="D193" s="8" t="s">
        <v>30</v>
      </c>
      <c r="E193" s="8" t="s">
        <v>30</v>
      </c>
      <c r="F193" s="8" t="s">
        <v>30</v>
      </c>
      <c r="G193" s="8" t="s">
        <v>30</v>
      </c>
      <c r="H193" s="8" t="s">
        <v>30</v>
      </c>
    </row>
    <row r="194" spans="1:8" x14ac:dyDescent="0.2">
      <c r="A194" s="1">
        <v>44685</v>
      </c>
      <c r="B194">
        <v>162.667</v>
      </c>
      <c r="C194">
        <f t="shared" si="2"/>
        <v>4.0190279405571398E-2</v>
      </c>
      <c r="D194" s="8" t="s">
        <v>30</v>
      </c>
      <c r="E194" s="8" t="s">
        <v>30</v>
      </c>
      <c r="F194" s="8" t="s">
        <v>30</v>
      </c>
      <c r="G194" s="8" t="s">
        <v>30</v>
      </c>
      <c r="H194" s="8" t="s">
        <v>30</v>
      </c>
    </row>
    <row r="195" spans="1:8" x14ac:dyDescent="0.2">
      <c r="A195" s="1">
        <v>44686</v>
      </c>
      <c r="B195">
        <v>153.6</v>
      </c>
      <c r="C195">
        <f t="shared" ref="C195:C258" si="3">LN(B195/B194)</f>
        <v>-5.7353345649694049E-2</v>
      </c>
      <c r="D195" s="8" t="s">
        <v>30</v>
      </c>
      <c r="E195" s="8" t="s">
        <v>30</v>
      </c>
      <c r="F195" s="8" t="s">
        <v>30</v>
      </c>
      <c r="G195" s="8" t="s">
        <v>30</v>
      </c>
      <c r="H195" s="8" t="s">
        <v>30</v>
      </c>
    </row>
    <row r="196" spans="1:8" x14ac:dyDescent="0.2">
      <c r="A196" s="1">
        <v>44687</v>
      </c>
      <c r="B196">
        <v>154.328</v>
      </c>
      <c r="C196">
        <f t="shared" si="3"/>
        <v>4.7283868720165373E-3</v>
      </c>
      <c r="D196" s="8" t="s">
        <v>30</v>
      </c>
      <c r="E196" s="8" t="s">
        <v>30</v>
      </c>
      <c r="F196" s="8" t="s">
        <v>30</v>
      </c>
      <c r="G196" s="8" t="s">
        <v>30</v>
      </c>
      <c r="H196" s="8" t="s">
        <v>30</v>
      </c>
    </row>
    <row r="197" spans="1:8" x14ac:dyDescent="0.2">
      <c r="A197" s="1">
        <v>44690</v>
      </c>
      <c r="B197">
        <v>149.20400000000001</v>
      </c>
      <c r="C197">
        <f t="shared" si="3"/>
        <v>-3.3765710523825494E-2</v>
      </c>
      <c r="D197" s="8" t="s">
        <v>30</v>
      </c>
      <c r="E197" s="8" t="s">
        <v>30</v>
      </c>
      <c r="F197" s="8" t="s">
        <v>30</v>
      </c>
      <c r="G197" s="8" t="s">
        <v>30</v>
      </c>
      <c r="H197" s="8" t="s">
        <v>30</v>
      </c>
    </row>
    <row r="198" spans="1:8" x14ac:dyDescent="0.2">
      <c r="A198" s="1">
        <v>44691</v>
      </c>
      <c r="B198">
        <v>151.61000000000001</v>
      </c>
      <c r="C198">
        <f t="shared" si="3"/>
        <v>1.5996937031727627E-2</v>
      </c>
      <c r="D198" s="8" t="s">
        <v>30</v>
      </c>
      <c r="E198" s="8" t="s">
        <v>30</v>
      </c>
      <c r="F198" s="8" t="s">
        <v>30</v>
      </c>
      <c r="G198" s="8" t="s">
        <v>30</v>
      </c>
      <c r="H198" s="8" t="s">
        <v>30</v>
      </c>
    </row>
    <row r="199" spans="1:8" x14ac:dyDescent="0.2">
      <c r="A199" s="1">
        <v>44692</v>
      </c>
      <c r="B199">
        <v>143.75200000000001</v>
      </c>
      <c r="C199">
        <f t="shared" si="3"/>
        <v>-5.3221841469337672E-2</v>
      </c>
      <c r="D199" s="8" t="s">
        <v>30</v>
      </c>
      <c r="E199" s="8" t="s">
        <v>30</v>
      </c>
      <c r="F199" s="8" t="s">
        <v>30</v>
      </c>
      <c r="G199" s="8" t="s">
        <v>30</v>
      </c>
      <c r="H199" s="8" t="s">
        <v>30</v>
      </c>
    </row>
    <row r="200" spans="1:8" x14ac:dyDescent="0.2">
      <c r="A200" s="1">
        <v>44693</v>
      </c>
      <c r="B200">
        <v>139.88300000000001</v>
      </c>
      <c r="C200">
        <f t="shared" si="3"/>
        <v>-2.7283233704427673E-2</v>
      </c>
      <c r="D200" s="8" t="s">
        <v>30</v>
      </c>
      <c r="E200" s="8" t="s">
        <v>30</v>
      </c>
      <c r="F200" s="8" t="s">
        <v>30</v>
      </c>
      <c r="G200" s="8" t="s">
        <v>30</v>
      </c>
      <c r="H200" s="8" t="s">
        <v>30</v>
      </c>
    </row>
    <row r="201" spans="1:8" x14ac:dyDescent="0.2">
      <c r="A201" s="1">
        <v>44694</v>
      </c>
      <c r="B201">
        <v>144.34899999999999</v>
      </c>
      <c r="C201">
        <f t="shared" si="3"/>
        <v>3.1427619558711158E-2</v>
      </c>
      <c r="D201" s="8" t="s">
        <v>30</v>
      </c>
      <c r="E201" s="8" t="s">
        <v>30</v>
      </c>
      <c r="F201" s="8" t="s">
        <v>30</v>
      </c>
      <c r="G201" s="8" t="s">
        <v>30</v>
      </c>
      <c r="H201" s="8" t="s">
        <v>30</v>
      </c>
    </row>
    <row r="202" spans="1:8" x14ac:dyDescent="0.2">
      <c r="A202" s="1">
        <v>44697</v>
      </c>
      <c r="B202">
        <v>142.80699999999999</v>
      </c>
      <c r="C202">
        <f t="shared" si="3"/>
        <v>-1.0739910166530784E-2</v>
      </c>
      <c r="D202" s="8" t="s">
        <v>30</v>
      </c>
      <c r="E202" s="8" t="s">
        <v>30</v>
      </c>
      <c r="F202" s="8" t="s">
        <v>30</v>
      </c>
      <c r="G202" s="8" t="s">
        <v>30</v>
      </c>
      <c r="H202" s="8" t="s">
        <v>30</v>
      </c>
    </row>
    <row r="203" spans="1:8" x14ac:dyDescent="0.2">
      <c r="A203" s="1">
        <v>44698</v>
      </c>
      <c r="B203">
        <v>146.43600000000001</v>
      </c>
      <c r="C203">
        <f t="shared" si="3"/>
        <v>2.5094404625797526E-2</v>
      </c>
      <c r="D203" s="8" t="s">
        <v>30</v>
      </c>
      <c r="E203" s="8" t="s">
        <v>30</v>
      </c>
      <c r="F203" s="8" t="s">
        <v>30</v>
      </c>
      <c r="G203" s="8" t="s">
        <v>30</v>
      </c>
      <c r="H203" s="8" t="s">
        <v>30</v>
      </c>
    </row>
    <row r="204" spans="1:8" x14ac:dyDescent="0.2">
      <c r="A204" s="1">
        <v>44699</v>
      </c>
      <c r="B204">
        <v>138.17500000000001</v>
      </c>
      <c r="C204">
        <f t="shared" si="3"/>
        <v>-5.806747521837604E-2</v>
      </c>
      <c r="D204" s="8" t="s">
        <v>30</v>
      </c>
      <c r="E204" s="8" t="s">
        <v>30</v>
      </c>
      <c r="F204" s="8" t="s">
        <v>30</v>
      </c>
      <c r="G204" s="8" t="s">
        <v>30</v>
      </c>
      <c r="H204" s="8" t="s">
        <v>30</v>
      </c>
    </row>
    <row r="205" spans="1:8" x14ac:dyDescent="0.2">
      <c r="A205" s="1">
        <v>44700</v>
      </c>
      <c r="B205">
        <v>134.77099999999999</v>
      </c>
      <c r="C205">
        <f t="shared" si="3"/>
        <v>-2.4943955916815027E-2</v>
      </c>
      <c r="D205" s="8" t="s">
        <v>30</v>
      </c>
      <c r="E205" s="8" t="s">
        <v>30</v>
      </c>
      <c r="F205" s="8" t="s">
        <v>30</v>
      </c>
      <c r="G205" s="8" t="s">
        <v>30</v>
      </c>
      <c r="H205" s="8" t="s">
        <v>30</v>
      </c>
    </row>
    <row r="206" spans="1:8" x14ac:dyDescent="0.2">
      <c r="A206" s="1">
        <v>44701</v>
      </c>
      <c r="B206">
        <v>135.006</v>
      </c>
      <c r="C206">
        <f t="shared" si="3"/>
        <v>1.7421800927372088E-3</v>
      </c>
      <c r="D206" s="8" t="s">
        <v>30</v>
      </c>
      <c r="E206" s="8" t="s">
        <v>30</v>
      </c>
      <c r="F206" s="8" t="s">
        <v>30</v>
      </c>
      <c r="G206" s="8" t="s">
        <v>30</v>
      </c>
      <c r="H206" s="8" t="s">
        <v>30</v>
      </c>
    </row>
    <row r="207" spans="1:8" x14ac:dyDescent="0.2">
      <c r="A207" s="1">
        <v>44704</v>
      </c>
      <c r="B207">
        <v>140.42099999999999</v>
      </c>
      <c r="C207">
        <f t="shared" si="3"/>
        <v>3.9325831161161007E-2</v>
      </c>
      <c r="D207" s="8" t="s">
        <v>30</v>
      </c>
      <c r="E207" s="8" t="s">
        <v>30</v>
      </c>
      <c r="F207" s="8" t="s">
        <v>30</v>
      </c>
      <c r="G207" s="8" t="s">
        <v>30</v>
      </c>
      <c r="H207" s="8" t="s">
        <v>30</v>
      </c>
    </row>
    <row r="208" spans="1:8" x14ac:dyDescent="0.2">
      <c r="A208" s="1">
        <v>44705</v>
      </c>
      <c r="B208">
        <v>137.726</v>
      </c>
      <c r="C208">
        <f t="shared" si="3"/>
        <v>-1.9378848878100926E-2</v>
      </c>
      <c r="D208" s="8" t="s">
        <v>30</v>
      </c>
      <c r="E208" s="8" t="s">
        <v>30</v>
      </c>
      <c r="F208" s="8" t="s">
        <v>30</v>
      </c>
      <c r="G208" s="8" t="s">
        <v>30</v>
      </c>
      <c r="H208" s="8" t="s">
        <v>30</v>
      </c>
    </row>
    <row r="209" spans="1:8" x14ac:dyDescent="0.2">
      <c r="A209" s="1">
        <v>44706</v>
      </c>
      <c r="B209">
        <v>137.881</v>
      </c>
      <c r="C209">
        <f t="shared" si="3"/>
        <v>1.124790127547979E-3</v>
      </c>
      <c r="D209" s="8" t="s">
        <v>30</v>
      </c>
      <c r="E209" s="8" t="s">
        <v>30</v>
      </c>
      <c r="F209" s="8" t="s">
        <v>30</v>
      </c>
      <c r="G209" s="8" t="s">
        <v>30</v>
      </c>
      <c r="H209" s="8" t="s">
        <v>30</v>
      </c>
    </row>
    <row r="210" spans="1:8" x14ac:dyDescent="0.2">
      <c r="A210" s="1">
        <v>44707</v>
      </c>
      <c r="B210">
        <v>141.07900000000001</v>
      </c>
      <c r="C210">
        <f t="shared" si="3"/>
        <v>2.292902285995212E-2</v>
      </c>
      <c r="D210" s="8" t="s">
        <v>30</v>
      </c>
      <c r="E210" s="8" t="s">
        <v>30</v>
      </c>
      <c r="F210" s="8" t="s">
        <v>30</v>
      </c>
      <c r="G210" s="8" t="s">
        <v>30</v>
      </c>
      <c r="H210" s="8" t="s">
        <v>30</v>
      </c>
    </row>
    <row r="211" spans="1:8" x14ac:dyDescent="0.2">
      <c r="A211" s="1">
        <v>44708</v>
      </c>
      <c r="B211">
        <v>146.83199999999999</v>
      </c>
      <c r="C211">
        <f t="shared" si="3"/>
        <v>3.9969058910848211E-2</v>
      </c>
      <c r="D211" s="8" t="s">
        <v>30</v>
      </c>
      <c r="E211" s="8" t="s">
        <v>30</v>
      </c>
      <c r="F211" s="8" t="s">
        <v>30</v>
      </c>
      <c r="G211" s="8" t="s">
        <v>30</v>
      </c>
      <c r="H211" s="8" t="s">
        <v>30</v>
      </c>
    </row>
    <row r="212" spans="1:8" x14ac:dyDescent="0.2">
      <c r="A212" s="1">
        <v>44712</v>
      </c>
      <c r="B212">
        <v>146.04499999999999</v>
      </c>
      <c r="C212">
        <f t="shared" si="3"/>
        <v>-5.374282680011673E-3</v>
      </c>
      <c r="D212" s="8" t="s">
        <v>30</v>
      </c>
      <c r="E212" s="8" t="s">
        <v>30</v>
      </c>
      <c r="F212" s="8" t="s">
        <v>30</v>
      </c>
      <c r="G212" s="8" t="s">
        <v>30</v>
      </c>
      <c r="H212" s="8" t="s">
        <v>30</v>
      </c>
    </row>
    <row r="213" spans="1:8" x14ac:dyDescent="0.2">
      <c r="A213" s="1">
        <v>44713</v>
      </c>
      <c r="B213">
        <v>145.91900000000001</v>
      </c>
      <c r="C213">
        <f t="shared" si="3"/>
        <v>-8.6312016428213129E-4</v>
      </c>
      <c r="D213" s="8" t="s">
        <v>30</v>
      </c>
      <c r="E213" s="8" t="s">
        <v>30</v>
      </c>
      <c r="F213" s="8" t="s">
        <v>30</v>
      </c>
      <c r="G213" s="8" t="s">
        <v>30</v>
      </c>
      <c r="H213" s="8" t="s">
        <v>30</v>
      </c>
    </row>
    <row r="214" spans="1:8" x14ac:dyDescent="0.2">
      <c r="A214" s="1">
        <v>44714</v>
      </c>
      <c r="B214">
        <v>148.369</v>
      </c>
      <c r="C214">
        <f t="shared" si="3"/>
        <v>1.6650740800636131E-2</v>
      </c>
      <c r="D214" s="8" t="s">
        <v>30</v>
      </c>
      <c r="E214" s="8" t="s">
        <v>30</v>
      </c>
      <c r="F214" s="8" t="s">
        <v>30</v>
      </c>
      <c r="G214" s="8" t="s">
        <v>30</v>
      </c>
      <c r="H214" s="8" t="s">
        <v>30</v>
      </c>
    </row>
    <row r="215" spans="1:8" x14ac:dyDescent="0.2">
      <c r="A215" s="1">
        <v>44715</v>
      </c>
      <c r="B215">
        <v>142.65</v>
      </c>
      <c r="C215">
        <f t="shared" si="3"/>
        <v>-3.9308336373490606E-2</v>
      </c>
      <c r="D215" s="8" t="s">
        <v>30</v>
      </c>
      <c r="E215" s="8" t="s">
        <v>30</v>
      </c>
      <c r="F215" s="8" t="s">
        <v>30</v>
      </c>
      <c r="G215" s="8" t="s">
        <v>30</v>
      </c>
      <c r="H215" s="8" t="s">
        <v>30</v>
      </c>
    </row>
    <row r="216" spans="1:8" x14ac:dyDescent="0.2">
      <c r="A216" s="1">
        <v>44718</v>
      </c>
      <c r="B216">
        <v>143.39500000000001</v>
      </c>
      <c r="C216">
        <f t="shared" si="3"/>
        <v>5.2089823946386525E-3</v>
      </c>
      <c r="D216" s="8" t="s">
        <v>30</v>
      </c>
      <c r="E216" s="8" t="s">
        <v>30</v>
      </c>
      <c r="F216" s="8" t="s">
        <v>30</v>
      </c>
      <c r="G216" s="8" t="s">
        <v>30</v>
      </c>
      <c r="H216" s="8" t="s">
        <v>30</v>
      </c>
    </row>
    <row r="217" spans="1:8" x14ac:dyDescent="0.2">
      <c r="A217" s="1">
        <v>44719</v>
      </c>
      <c r="B217">
        <v>145.91900000000001</v>
      </c>
      <c r="C217">
        <f t="shared" si="3"/>
        <v>1.7448613178215663E-2</v>
      </c>
      <c r="D217" s="8" t="s">
        <v>30</v>
      </c>
      <c r="E217" s="8" t="s">
        <v>30</v>
      </c>
      <c r="F217" s="8" t="s">
        <v>30</v>
      </c>
      <c r="G217" s="8" t="s">
        <v>30</v>
      </c>
      <c r="H217" s="8" t="s">
        <v>30</v>
      </c>
    </row>
    <row r="218" spans="1:8" x14ac:dyDescent="0.2">
      <c r="A218" s="1">
        <v>44720</v>
      </c>
      <c r="B218">
        <v>145.18299999999999</v>
      </c>
      <c r="C218">
        <f t="shared" si="3"/>
        <v>-5.056657585860316E-3</v>
      </c>
      <c r="D218" s="8" t="s">
        <v>30</v>
      </c>
      <c r="E218" s="8" t="s">
        <v>30</v>
      </c>
      <c r="F218" s="8" t="s">
        <v>30</v>
      </c>
      <c r="G218" s="8" t="s">
        <v>30</v>
      </c>
      <c r="H218" s="8" t="s">
        <v>30</v>
      </c>
    </row>
    <row r="219" spans="1:8" x14ac:dyDescent="0.2">
      <c r="A219" s="1">
        <v>44721</v>
      </c>
      <c r="B219">
        <v>139.96199999999999</v>
      </c>
      <c r="C219">
        <f t="shared" si="3"/>
        <v>-3.6624058452029241E-2</v>
      </c>
      <c r="D219" s="8" t="s">
        <v>30</v>
      </c>
      <c r="E219" s="8" t="s">
        <v>30</v>
      </c>
      <c r="F219" s="8" t="s">
        <v>30</v>
      </c>
      <c r="G219" s="8" t="s">
        <v>30</v>
      </c>
      <c r="H219" s="8" t="s">
        <v>30</v>
      </c>
    </row>
    <row r="220" spans="1:8" x14ac:dyDescent="0.2">
      <c r="A220" s="1">
        <v>44722</v>
      </c>
      <c r="B220">
        <v>134.554</v>
      </c>
      <c r="C220">
        <f t="shared" si="3"/>
        <v>-3.9405351738068001E-2</v>
      </c>
      <c r="D220" s="8" t="s">
        <v>30</v>
      </c>
      <c r="E220" s="8" t="s">
        <v>30</v>
      </c>
      <c r="F220" s="8" t="s">
        <v>30</v>
      </c>
      <c r="G220" s="8" t="s">
        <v>30</v>
      </c>
      <c r="H220" s="8" t="s">
        <v>30</v>
      </c>
    </row>
    <row r="221" spans="1:8" x14ac:dyDescent="0.2">
      <c r="A221" s="1">
        <v>44725</v>
      </c>
      <c r="B221">
        <v>129.404</v>
      </c>
      <c r="C221">
        <f t="shared" si="3"/>
        <v>-3.9026311966286795E-2</v>
      </c>
      <c r="D221" s="8" t="s">
        <v>30</v>
      </c>
      <c r="E221" s="8" t="s">
        <v>30</v>
      </c>
      <c r="F221" s="8" t="s">
        <v>30</v>
      </c>
      <c r="G221" s="8" t="s">
        <v>30</v>
      </c>
      <c r="H221" s="8" t="s">
        <v>30</v>
      </c>
    </row>
    <row r="222" spans="1:8" x14ac:dyDescent="0.2">
      <c r="A222" s="1">
        <v>44726</v>
      </c>
      <c r="B222">
        <v>130.267</v>
      </c>
      <c r="C222">
        <f t="shared" si="3"/>
        <v>6.6468968607584647E-3</v>
      </c>
      <c r="D222" s="8" t="s">
        <v>30</v>
      </c>
      <c r="E222" s="8" t="s">
        <v>30</v>
      </c>
      <c r="F222" s="8" t="s">
        <v>30</v>
      </c>
      <c r="G222" s="8" t="s">
        <v>30</v>
      </c>
      <c r="H222" s="8" t="s">
        <v>30</v>
      </c>
    </row>
    <row r="223" spans="1:8" x14ac:dyDescent="0.2">
      <c r="A223" s="1">
        <v>44727</v>
      </c>
      <c r="B223">
        <v>132.886</v>
      </c>
      <c r="C223">
        <f t="shared" si="3"/>
        <v>1.9905427456746824E-2</v>
      </c>
      <c r="D223" s="8" t="s">
        <v>30</v>
      </c>
      <c r="E223" s="8" t="s">
        <v>30</v>
      </c>
      <c r="F223" s="8" t="s">
        <v>30</v>
      </c>
      <c r="G223" s="8" t="s">
        <v>30</v>
      </c>
      <c r="H223" s="8" t="s">
        <v>30</v>
      </c>
    </row>
    <row r="224" spans="1:8" x14ac:dyDescent="0.2">
      <c r="A224" s="1">
        <v>44728</v>
      </c>
      <c r="B224">
        <v>127.619</v>
      </c>
      <c r="C224">
        <f t="shared" si="3"/>
        <v>-4.0442355160543134E-2</v>
      </c>
      <c r="D224" s="8" t="s">
        <v>30</v>
      </c>
      <c r="E224" s="8" t="s">
        <v>30</v>
      </c>
      <c r="F224" s="8" t="s">
        <v>30</v>
      </c>
      <c r="G224" s="8" t="s">
        <v>30</v>
      </c>
      <c r="H224" s="8" t="s">
        <v>30</v>
      </c>
    </row>
    <row r="225" spans="1:8" x14ac:dyDescent="0.2">
      <c r="A225" s="1">
        <v>44729</v>
      </c>
      <c r="B225">
        <v>129.09</v>
      </c>
      <c r="C225">
        <f t="shared" si="3"/>
        <v>1.1460572871536614E-2</v>
      </c>
      <c r="D225" s="8" t="s">
        <v>30</v>
      </c>
      <c r="E225" s="8" t="s">
        <v>30</v>
      </c>
      <c r="F225" s="8" t="s">
        <v>30</v>
      </c>
      <c r="G225" s="8" t="s">
        <v>30</v>
      </c>
      <c r="H225" s="8" t="s">
        <v>30</v>
      </c>
    </row>
    <row r="226" spans="1:8" x14ac:dyDescent="0.2">
      <c r="A226" s="1">
        <v>44733</v>
      </c>
      <c r="B226">
        <v>133.32</v>
      </c>
      <c r="C226">
        <f t="shared" si="3"/>
        <v>3.2242417920920953E-2</v>
      </c>
      <c r="D226" s="8" t="s">
        <v>30</v>
      </c>
      <c r="E226" s="8" t="s">
        <v>30</v>
      </c>
      <c r="F226" s="8" t="s">
        <v>30</v>
      </c>
      <c r="G226" s="8" t="s">
        <v>30</v>
      </c>
      <c r="H226" s="8" t="s">
        <v>30</v>
      </c>
    </row>
    <row r="227" spans="1:8" x14ac:dyDescent="0.2">
      <c r="A227" s="1">
        <v>44734</v>
      </c>
      <c r="B227">
        <v>132.80699999999999</v>
      </c>
      <c r="C227">
        <f t="shared" si="3"/>
        <v>-3.8553069429996681E-3</v>
      </c>
      <c r="D227" s="8" t="s">
        <v>30</v>
      </c>
      <c r="E227" s="8" t="s">
        <v>30</v>
      </c>
      <c r="F227" s="8" t="s">
        <v>30</v>
      </c>
      <c r="G227" s="8" t="s">
        <v>30</v>
      </c>
      <c r="H227" s="8" t="s">
        <v>30</v>
      </c>
    </row>
    <row r="228" spans="1:8" x14ac:dyDescent="0.2">
      <c r="A228" s="1">
        <v>44735</v>
      </c>
      <c r="B228">
        <v>135.67400000000001</v>
      </c>
      <c r="C228">
        <f t="shared" si="3"/>
        <v>2.1358002871132493E-2</v>
      </c>
      <c r="D228" s="8" t="s">
        <v>30</v>
      </c>
      <c r="E228" s="8" t="s">
        <v>30</v>
      </c>
      <c r="F228" s="8" t="s">
        <v>30</v>
      </c>
      <c r="G228" s="8" t="s">
        <v>30</v>
      </c>
      <c r="H228" s="8" t="s">
        <v>30</v>
      </c>
    </row>
    <row r="229" spans="1:8" x14ac:dyDescent="0.2">
      <c r="A229" s="1">
        <v>44736</v>
      </c>
      <c r="B229">
        <v>139</v>
      </c>
      <c r="C229">
        <f t="shared" si="3"/>
        <v>2.4218983763020115E-2</v>
      </c>
      <c r="D229" s="8" t="s">
        <v>30</v>
      </c>
      <c r="E229" s="8" t="s">
        <v>30</v>
      </c>
      <c r="F229" s="8" t="s">
        <v>30</v>
      </c>
      <c r="G229" s="8" t="s">
        <v>30</v>
      </c>
      <c r="H229" s="8" t="s">
        <v>30</v>
      </c>
    </row>
    <row r="230" spans="1:8" x14ac:dyDescent="0.2">
      <c r="A230" s="1">
        <v>44739</v>
      </c>
      <c r="B230">
        <v>139</v>
      </c>
      <c r="C230">
        <f t="shared" si="3"/>
        <v>0</v>
      </c>
      <c r="D230" s="8" t="s">
        <v>30</v>
      </c>
      <c r="E230" s="8" t="s">
        <v>30</v>
      </c>
      <c r="F230" s="8" t="s">
        <v>30</v>
      </c>
      <c r="G230" s="8" t="s">
        <v>30</v>
      </c>
      <c r="H230" s="8" t="s">
        <v>30</v>
      </c>
    </row>
    <row r="231" spans="1:8" x14ac:dyDescent="0.2">
      <c r="A231" s="1">
        <v>44740</v>
      </c>
      <c r="B231">
        <v>134.86000000000001</v>
      </c>
      <c r="C231">
        <f t="shared" si="3"/>
        <v>-3.0236729824255754E-2</v>
      </c>
      <c r="D231" s="8" t="s">
        <v>30</v>
      </c>
      <c r="E231" s="8" t="s">
        <v>30</v>
      </c>
      <c r="F231" s="8" t="s">
        <v>30</v>
      </c>
      <c r="G231" s="8" t="s">
        <v>30</v>
      </c>
      <c r="H231" s="8" t="s">
        <v>30</v>
      </c>
    </row>
    <row r="232" spans="1:8" x14ac:dyDescent="0.2">
      <c r="A232" s="1">
        <v>44741</v>
      </c>
      <c r="B232">
        <v>136.61500000000001</v>
      </c>
      <c r="C232">
        <f t="shared" si="3"/>
        <v>1.2929547464864334E-2</v>
      </c>
      <c r="D232" s="8" t="s">
        <v>30</v>
      </c>
      <c r="E232" s="8" t="s">
        <v>30</v>
      </c>
      <c r="F232" s="8" t="s">
        <v>30</v>
      </c>
      <c r="G232" s="8" t="s">
        <v>30</v>
      </c>
      <c r="H232" s="8" t="s">
        <v>30</v>
      </c>
    </row>
    <row r="233" spans="1:8" x14ac:dyDescent="0.2">
      <c r="A233" s="1">
        <v>44742</v>
      </c>
      <c r="B233">
        <v>134.15299999999999</v>
      </c>
      <c r="C233">
        <f t="shared" si="3"/>
        <v>-1.8185811123253178E-2</v>
      </c>
      <c r="D233" s="8" t="s">
        <v>30</v>
      </c>
      <c r="E233" s="8" t="s">
        <v>30</v>
      </c>
      <c r="F233" s="8" t="s">
        <v>30</v>
      </c>
      <c r="G233" s="8" t="s">
        <v>30</v>
      </c>
      <c r="H233" s="8" t="s">
        <v>30</v>
      </c>
    </row>
    <row r="234" spans="1:8" x14ac:dyDescent="0.2">
      <c r="A234" s="1">
        <v>44743</v>
      </c>
      <c r="B234">
        <v>136.321</v>
      </c>
      <c r="C234">
        <f t="shared" si="3"/>
        <v>1.6031459086803528E-2</v>
      </c>
      <c r="D234" s="8" t="s">
        <v>30</v>
      </c>
      <c r="E234" s="8" t="s">
        <v>30</v>
      </c>
      <c r="F234" s="8" t="s">
        <v>30</v>
      </c>
      <c r="G234" s="8" t="s">
        <v>30</v>
      </c>
      <c r="H234" s="8" t="s">
        <v>30</v>
      </c>
    </row>
    <row r="235" spans="1:8" x14ac:dyDescent="0.2">
      <c r="A235" s="1">
        <v>44747</v>
      </c>
      <c r="B235">
        <v>138.90100000000001</v>
      </c>
      <c r="C235">
        <f t="shared" si="3"/>
        <v>1.8749050423577635E-2</v>
      </c>
      <c r="D235" s="8" t="s">
        <v>30</v>
      </c>
      <c r="E235" s="8" t="s">
        <v>30</v>
      </c>
      <c r="F235" s="8" t="s">
        <v>30</v>
      </c>
      <c r="G235" s="8" t="s">
        <v>30</v>
      </c>
      <c r="H235" s="8" t="s">
        <v>30</v>
      </c>
    </row>
    <row r="236" spans="1:8" x14ac:dyDescent="0.2">
      <c r="A236" s="1">
        <v>44748</v>
      </c>
      <c r="B236">
        <v>140.23699999999999</v>
      </c>
      <c r="C236">
        <f t="shared" si="3"/>
        <v>9.5723993261397789E-3</v>
      </c>
      <c r="D236" s="8" t="s">
        <v>30</v>
      </c>
      <c r="E236" s="8" t="s">
        <v>30</v>
      </c>
      <c r="F236" s="8" t="s">
        <v>30</v>
      </c>
      <c r="G236" s="8" t="s">
        <v>30</v>
      </c>
      <c r="H236" s="8" t="s">
        <v>30</v>
      </c>
    </row>
    <row r="237" spans="1:8" x14ac:dyDescent="0.2">
      <c r="A237" s="1">
        <v>44749</v>
      </c>
      <c r="B237">
        <v>143.60400000000001</v>
      </c>
      <c r="C237">
        <f t="shared" si="3"/>
        <v>2.3725662894811261E-2</v>
      </c>
      <c r="D237" s="8" t="s">
        <v>30</v>
      </c>
      <c r="E237" s="8" t="s">
        <v>30</v>
      </c>
      <c r="F237" s="8" t="s">
        <v>30</v>
      </c>
      <c r="G237" s="8" t="s">
        <v>30</v>
      </c>
      <c r="H237" s="8" t="s">
        <v>30</v>
      </c>
    </row>
    <row r="238" spans="1:8" x14ac:dyDescent="0.2">
      <c r="A238" s="1">
        <v>44750</v>
      </c>
      <c r="B238">
        <v>144.28</v>
      </c>
      <c r="C238">
        <f t="shared" si="3"/>
        <v>4.6963446559585903E-3</v>
      </c>
      <c r="D238" s="8" t="s">
        <v>30</v>
      </c>
      <c r="E238" s="8" t="s">
        <v>30</v>
      </c>
      <c r="F238" s="8" t="s">
        <v>30</v>
      </c>
      <c r="G238" s="8" t="s">
        <v>30</v>
      </c>
      <c r="H238" s="8" t="s">
        <v>30</v>
      </c>
    </row>
    <row r="239" spans="1:8" x14ac:dyDescent="0.2">
      <c r="A239" s="1">
        <v>44753</v>
      </c>
      <c r="B239">
        <v>142.15</v>
      </c>
      <c r="C239">
        <f t="shared" si="3"/>
        <v>-1.4873017938329436E-2</v>
      </c>
      <c r="D239" s="8" t="s">
        <v>30</v>
      </c>
      <c r="E239" s="8" t="s">
        <v>30</v>
      </c>
      <c r="F239" s="8" t="s">
        <v>30</v>
      </c>
      <c r="G239" s="8" t="s">
        <v>30</v>
      </c>
      <c r="H239" s="8" t="s">
        <v>30</v>
      </c>
    </row>
    <row r="240" spans="1:8" x14ac:dyDescent="0.2">
      <c r="A240" s="1">
        <v>44754</v>
      </c>
      <c r="B240">
        <v>143.12</v>
      </c>
      <c r="C240">
        <f t="shared" si="3"/>
        <v>6.8006011034550213E-3</v>
      </c>
      <c r="D240" s="8" t="s">
        <v>30</v>
      </c>
      <c r="E240" s="8" t="s">
        <v>30</v>
      </c>
      <c r="F240" s="8" t="s">
        <v>30</v>
      </c>
      <c r="G240" s="8" t="s">
        <v>30</v>
      </c>
      <c r="H240" s="8" t="s">
        <v>30</v>
      </c>
    </row>
    <row r="241" spans="1:8" x14ac:dyDescent="0.2">
      <c r="A241" s="1">
        <v>44755</v>
      </c>
      <c r="B241">
        <v>142.75700000000001</v>
      </c>
      <c r="C241">
        <f t="shared" si="3"/>
        <v>-2.5395550890244243E-3</v>
      </c>
      <c r="D241" s="8" t="s">
        <v>30</v>
      </c>
      <c r="E241" s="8" t="s">
        <v>30</v>
      </c>
      <c r="F241" s="8" t="s">
        <v>30</v>
      </c>
      <c r="G241" s="8" t="s">
        <v>30</v>
      </c>
      <c r="H241" s="8" t="s">
        <v>30</v>
      </c>
    </row>
    <row r="242" spans="1:8" x14ac:dyDescent="0.2">
      <c r="A242" s="1">
        <v>44756</v>
      </c>
      <c r="B242">
        <v>145.68100000000001</v>
      </c>
      <c r="C242">
        <f t="shared" si="3"/>
        <v>2.0275415644595271E-2</v>
      </c>
      <c r="D242" s="8" t="s">
        <v>30</v>
      </c>
      <c r="E242" s="8" t="s">
        <v>30</v>
      </c>
      <c r="F242" s="8" t="s">
        <v>30</v>
      </c>
      <c r="G242" s="8" t="s">
        <v>30</v>
      </c>
      <c r="H242" s="8" t="s">
        <v>30</v>
      </c>
    </row>
    <row r="243" spans="1:8" x14ac:dyDescent="0.2">
      <c r="A243" s="1">
        <v>44757</v>
      </c>
      <c r="B243">
        <v>147.351</v>
      </c>
      <c r="C243">
        <f t="shared" si="3"/>
        <v>1.1398195967246531E-2</v>
      </c>
      <c r="D243" s="8" t="s">
        <v>30</v>
      </c>
      <c r="E243" s="8" t="s">
        <v>30</v>
      </c>
      <c r="F243" s="8" t="s">
        <v>30</v>
      </c>
      <c r="G243" s="8" t="s">
        <v>30</v>
      </c>
      <c r="H243" s="8" t="s">
        <v>30</v>
      </c>
    </row>
    <row r="244" spans="1:8" x14ac:dyDescent="0.2">
      <c r="A244" s="1">
        <v>44760</v>
      </c>
      <c r="B244">
        <v>144.309</v>
      </c>
      <c r="C244">
        <f t="shared" si="3"/>
        <v>-2.0860661826017413E-2</v>
      </c>
      <c r="D244" s="8" t="s">
        <v>30</v>
      </c>
      <c r="E244" s="8" t="s">
        <v>30</v>
      </c>
      <c r="F244" s="8" t="s">
        <v>30</v>
      </c>
      <c r="G244" s="8" t="s">
        <v>30</v>
      </c>
      <c r="H244" s="8" t="s">
        <v>30</v>
      </c>
    </row>
    <row r="245" spans="1:8" x14ac:dyDescent="0.2">
      <c r="A245" s="1">
        <v>44761</v>
      </c>
      <c r="B245">
        <v>148.16399999999999</v>
      </c>
      <c r="C245">
        <f t="shared" si="3"/>
        <v>2.6362934476343157E-2</v>
      </c>
      <c r="D245" s="8" t="s">
        <v>30</v>
      </c>
      <c r="E245" s="8" t="s">
        <v>30</v>
      </c>
      <c r="F245" s="8" t="s">
        <v>30</v>
      </c>
      <c r="G245" s="8" t="s">
        <v>30</v>
      </c>
      <c r="H245" s="8" t="s">
        <v>30</v>
      </c>
    </row>
    <row r="246" spans="1:8" x14ac:dyDescent="0.2">
      <c r="A246" s="1">
        <v>44762</v>
      </c>
      <c r="B246">
        <v>150.166</v>
      </c>
      <c r="C246">
        <f t="shared" si="3"/>
        <v>1.3421580485167743E-2</v>
      </c>
      <c r="D246" s="8" t="s">
        <v>30</v>
      </c>
      <c r="E246" s="8" t="s">
        <v>30</v>
      </c>
      <c r="F246" s="8" t="s">
        <v>30</v>
      </c>
      <c r="G246" s="8" t="s">
        <v>30</v>
      </c>
      <c r="H246" s="8" t="s">
        <v>30</v>
      </c>
    </row>
    <row r="247" spans="1:8" x14ac:dyDescent="0.2">
      <c r="A247" s="1">
        <v>44763</v>
      </c>
      <c r="B247">
        <v>152.43299999999999</v>
      </c>
      <c r="C247">
        <f t="shared" si="3"/>
        <v>1.4983806386428974E-2</v>
      </c>
      <c r="D247" s="8" t="s">
        <v>30</v>
      </c>
      <c r="E247" s="8" t="s">
        <v>30</v>
      </c>
      <c r="F247" s="8" t="s">
        <v>30</v>
      </c>
      <c r="G247" s="8" t="s">
        <v>30</v>
      </c>
      <c r="H247" s="8" t="s">
        <v>30</v>
      </c>
    </row>
    <row r="248" spans="1:8" x14ac:dyDescent="0.2">
      <c r="A248" s="1">
        <v>44764</v>
      </c>
      <c r="B248">
        <v>151.196</v>
      </c>
      <c r="C248">
        <f t="shared" si="3"/>
        <v>-8.1481468761663445E-3</v>
      </c>
      <c r="D248" s="8" t="s">
        <v>30</v>
      </c>
      <c r="E248" s="8" t="s">
        <v>30</v>
      </c>
      <c r="F248" s="8" t="s">
        <v>30</v>
      </c>
      <c r="G248" s="8" t="s">
        <v>30</v>
      </c>
      <c r="H248" s="8" t="s">
        <v>30</v>
      </c>
    </row>
    <row r="249" spans="1:8" x14ac:dyDescent="0.2">
      <c r="A249" s="1">
        <v>44767</v>
      </c>
      <c r="B249">
        <v>150.07900000000001</v>
      </c>
      <c r="C249">
        <f t="shared" si="3"/>
        <v>-7.4151862463276855E-3</v>
      </c>
      <c r="D249" s="8" t="s">
        <v>30</v>
      </c>
      <c r="E249" s="8" t="s">
        <v>30</v>
      </c>
      <c r="F249" s="8" t="s">
        <v>30</v>
      </c>
      <c r="G249" s="8" t="s">
        <v>30</v>
      </c>
      <c r="H249" s="8" t="s">
        <v>30</v>
      </c>
    </row>
    <row r="250" spans="1:8" x14ac:dyDescent="0.2">
      <c r="A250" s="1">
        <v>44768</v>
      </c>
      <c r="B250">
        <v>148.755</v>
      </c>
      <c r="C250">
        <f t="shared" si="3"/>
        <v>-8.8611648165115055E-3</v>
      </c>
      <c r="D250" s="8" t="s">
        <v>30</v>
      </c>
      <c r="E250" s="8" t="s">
        <v>30</v>
      </c>
      <c r="F250" s="8" t="s">
        <v>30</v>
      </c>
      <c r="G250" s="8" t="s">
        <v>30</v>
      </c>
      <c r="H250" s="8" t="s">
        <v>30</v>
      </c>
    </row>
    <row r="251" spans="1:8" x14ac:dyDescent="0.2">
      <c r="A251" s="1">
        <v>44769</v>
      </c>
      <c r="B251">
        <v>153.84800000000001</v>
      </c>
      <c r="C251">
        <f t="shared" si="3"/>
        <v>3.3664444702348327E-2</v>
      </c>
      <c r="D251" s="8" t="s">
        <v>30</v>
      </c>
      <c r="E251" s="8" t="s">
        <v>30</v>
      </c>
      <c r="F251" s="8" t="s">
        <v>30</v>
      </c>
      <c r="G251" s="8" t="s">
        <v>30</v>
      </c>
      <c r="H251" s="8" t="s">
        <v>30</v>
      </c>
    </row>
    <row r="252" spans="1:8" x14ac:dyDescent="0.2">
      <c r="A252" s="1">
        <v>44770</v>
      </c>
      <c r="B252">
        <v>154.39599999999999</v>
      </c>
      <c r="C252">
        <f t="shared" si="3"/>
        <v>3.5556285107927526E-3</v>
      </c>
      <c r="D252">
        <f>_xlfn.STDEV.S(C3:C252)</f>
        <v>1.9009134723783214E-2</v>
      </c>
      <c r="E252">
        <f>_xlfn.NORM.S.INV(0.95)*D252</f>
        <v>3.1267244195623982E-2</v>
      </c>
      <c r="F252">
        <f>_xlfn.NORM.S.INV(0.99)*D252</f>
        <v>4.4221860152029002E-2</v>
      </c>
      <c r="G252">
        <f>-E252</f>
        <v>-3.1267244195623982E-2</v>
      </c>
      <c r="H252">
        <f>-F252</f>
        <v>-4.4221860152029002E-2</v>
      </c>
    </row>
    <row r="253" spans="1:8" x14ac:dyDescent="0.2">
      <c r="A253" s="1">
        <v>44771</v>
      </c>
      <c r="B253">
        <v>159.46</v>
      </c>
      <c r="C253">
        <f t="shared" si="3"/>
        <v>3.227237655501039E-2</v>
      </c>
      <c r="D253">
        <f t="shared" ref="D253:D316" si="4">_xlfn.STDEV.S(C4:C253)</f>
        <v>1.911541551404012E-2</v>
      </c>
      <c r="E253">
        <f t="shared" ref="E253:E316" si="5">_xlfn.NORM.S.INV(0.95)*D253</f>
        <v>3.144206053895332E-2</v>
      </c>
      <c r="F253">
        <f t="shared" ref="F253:F316" si="6">_xlfn.NORM.S.INV(0.99)*D253</f>
        <v>4.446910624249454E-2</v>
      </c>
      <c r="G253">
        <f t="shared" ref="G253:G316" si="7">-E253</f>
        <v>-3.144206053895332E-2</v>
      </c>
      <c r="H253">
        <f t="shared" ref="H253:H316" si="8">-F253</f>
        <v>-4.446910624249454E-2</v>
      </c>
    </row>
    <row r="254" spans="1:8" x14ac:dyDescent="0.2">
      <c r="A254" s="1">
        <v>44774</v>
      </c>
      <c r="B254">
        <v>158.47800000000001</v>
      </c>
      <c r="C254">
        <f t="shared" si="3"/>
        <v>-6.177324652630327E-3</v>
      </c>
      <c r="D254">
        <f t="shared" si="4"/>
        <v>1.9104663832502786E-2</v>
      </c>
      <c r="E254">
        <f t="shared" si="5"/>
        <v>3.142437559658081E-2</v>
      </c>
      <c r="F254">
        <f t="shared" si="6"/>
        <v>4.4444094091007795E-2</v>
      </c>
      <c r="G254">
        <f t="shared" si="7"/>
        <v>-3.142437559658081E-2</v>
      </c>
      <c r="H254">
        <f t="shared" si="8"/>
        <v>-4.4444094091007795E-2</v>
      </c>
    </row>
    <row r="255" spans="1:8" x14ac:dyDescent="0.2">
      <c r="A255" s="1">
        <v>44775</v>
      </c>
      <c r="B255">
        <v>157.005</v>
      </c>
      <c r="C255">
        <f t="shared" si="3"/>
        <v>-9.3381304467622939E-3</v>
      </c>
      <c r="D255">
        <f t="shared" si="4"/>
        <v>1.9113552806265029E-2</v>
      </c>
      <c r="E255">
        <f t="shared" si="5"/>
        <v>3.1438996657313513E-2</v>
      </c>
      <c r="F255">
        <f t="shared" si="6"/>
        <v>4.4464772936221995E-2</v>
      </c>
      <c r="G255">
        <f t="shared" si="7"/>
        <v>-3.1438996657313513E-2</v>
      </c>
      <c r="H255">
        <f t="shared" si="8"/>
        <v>-4.4464772936221995E-2</v>
      </c>
    </row>
    <row r="256" spans="1:8" x14ac:dyDescent="0.2">
      <c r="A256" s="1">
        <v>44776</v>
      </c>
      <c r="B256">
        <v>163.012</v>
      </c>
      <c r="C256">
        <f t="shared" si="3"/>
        <v>3.7546165753915214E-2</v>
      </c>
      <c r="D256">
        <f t="shared" si="4"/>
        <v>1.925767382382983E-2</v>
      </c>
      <c r="E256">
        <f t="shared" si="5"/>
        <v>3.1676054635774907E-2</v>
      </c>
      <c r="F256">
        <f t="shared" si="6"/>
        <v>4.4800048559038477E-2</v>
      </c>
      <c r="G256">
        <f t="shared" si="7"/>
        <v>-3.1676054635774907E-2</v>
      </c>
      <c r="H256">
        <f t="shared" si="8"/>
        <v>-4.4800048559038477E-2</v>
      </c>
    </row>
    <row r="257" spans="1:8" x14ac:dyDescent="0.2">
      <c r="A257" s="1">
        <v>44777</v>
      </c>
      <c r="B257">
        <v>162.697</v>
      </c>
      <c r="C257">
        <f t="shared" si="3"/>
        <v>-1.934242518376613E-3</v>
      </c>
      <c r="D257">
        <f t="shared" si="4"/>
        <v>1.925534575743252E-2</v>
      </c>
      <c r="E257">
        <f t="shared" si="5"/>
        <v>3.167222530731751E-2</v>
      </c>
      <c r="F257">
        <f t="shared" si="6"/>
        <v>4.4794632666724461E-2</v>
      </c>
      <c r="G257">
        <f t="shared" si="7"/>
        <v>-3.167222530731751E-2</v>
      </c>
      <c r="H257">
        <f t="shared" si="8"/>
        <v>-4.4794632666724461E-2</v>
      </c>
    </row>
    <row r="258" spans="1:8" x14ac:dyDescent="0.2">
      <c r="A258" s="1">
        <v>44778</v>
      </c>
      <c r="B258">
        <v>162.47</v>
      </c>
      <c r="C258">
        <f t="shared" si="3"/>
        <v>-1.396205868836488E-3</v>
      </c>
      <c r="D258">
        <f t="shared" si="4"/>
        <v>1.9255649650284312E-2</v>
      </c>
      <c r="E258">
        <f t="shared" si="5"/>
        <v>3.1672725166576987E-2</v>
      </c>
      <c r="F258">
        <f t="shared" si="6"/>
        <v>4.4795339627214166E-2</v>
      </c>
      <c r="G258">
        <f t="shared" si="7"/>
        <v>-3.1672725166576987E-2</v>
      </c>
      <c r="H258">
        <f t="shared" si="8"/>
        <v>-4.4795339627214166E-2</v>
      </c>
    </row>
    <row r="259" spans="1:8" x14ac:dyDescent="0.2">
      <c r="A259" s="1">
        <v>44781</v>
      </c>
      <c r="B259">
        <v>161.999</v>
      </c>
      <c r="C259">
        <f t="shared" ref="C259:C322" si="9">LN(B259/B258)</f>
        <v>-2.9032069678331463E-3</v>
      </c>
      <c r="D259">
        <f t="shared" si="4"/>
        <v>1.9255368416770748E-2</v>
      </c>
      <c r="E259">
        <f t="shared" si="5"/>
        <v>3.1672262578612179E-2</v>
      </c>
      <c r="F259">
        <f t="shared" si="6"/>
        <v>4.4794685380227781E-2</v>
      </c>
      <c r="G259">
        <f t="shared" si="7"/>
        <v>-3.1672262578612179E-2</v>
      </c>
      <c r="H259">
        <f t="shared" si="8"/>
        <v>-4.4794685380227781E-2</v>
      </c>
    </row>
    <row r="260" spans="1:8" x14ac:dyDescent="0.2">
      <c r="A260" s="1">
        <v>44782</v>
      </c>
      <c r="B260">
        <v>162.04900000000001</v>
      </c>
      <c r="C260">
        <f t="shared" si="9"/>
        <v>3.0859625979358802E-4</v>
      </c>
      <c r="D260">
        <f t="shared" si="4"/>
        <v>1.9255225225164211E-2</v>
      </c>
      <c r="E260">
        <f t="shared" si="5"/>
        <v>3.1672027049378819E-2</v>
      </c>
      <c r="F260">
        <f t="shared" si="6"/>
        <v>4.4794352266738328E-2</v>
      </c>
      <c r="G260">
        <f t="shared" si="7"/>
        <v>-3.1672027049378819E-2</v>
      </c>
      <c r="H260">
        <f t="shared" si="8"/>
        <v>-4.4794352266738328E-2</v>
      </c>
    </row>
    <row r="261" spans="1:8" x14ac:dyDescent="0.2">
      <c r="A261" s="1">
        <v>44783</v>
      </c>
      <c r="B261">
        <v>166.29300000000001</v>
      </c>
      <c r="C261">
        <f t="shared" si="9"/>
        <v>2.585253407561583E-2</v>
      </c>
      <c r="D261">
        <f t="shared" si="4"/>
        <v>1.9280436053583556E-2</v>
      </c>
      <c r="E261">
        <f t="shared" si="5"/>
        <v>3.1713495171942829E-2</v>
      </c>
      <c r="F261">
        <f t="shared" si="6"/>
        <v>4.4853001423834485E-2</v>
      </c>
      <c r="G261">
        <f t="shared" si="7"/>
        <v>-3.1713495171942829E-2</v>
      </c>
      <c r="H261">
        <f t="shared" si="8"/>
        <v>-4.4853001423834485E-2</v>
      </c>
    </row>
    <row r="262" spans="1:8" x14ac:dyDescent="0.2">
      <c r="A262" s="1">
        <v>44784</v>
      </c>
      <c r="B262">
        <v>165.55699999999999</v>
      </c>
      <c r="C262">
        <f t="shared" si="9"/>
        <v>-4.4357463117963699E-3</v>
      </c>
      <c r="D262">
        <f t="shared" si="4"/>
        <v>1.9282916796616506E-2</v>
      </c>
      <c r="E262">
        <f t="shared" si="5"/>
        <v>3.1717575631118114E-2</v>
      </c>
      <c r="F262">
        <f t="shared" si="6"/>
        <v>4.4858772495115225E-2</v>
      </c>
      <c r="G262">
        <f t="shared" si="7"/>
        <v>-3.1717575631118114E-2</v>
      </c>
      <c r="H262">
        <f t="shared" si="8"/>
        <v>-4.4858772495115225E-2</v>
      </c>
    </row>
    <row r="263" spans="1:8" x14ac:dyDescent="0.2">
      <c r="A263" s="1">
        <v>44785</v>
      </c>
      <c r="B263">
        <v>169.10400000000001</v>
      </c>
      <c r="C263">
        <f t="shared" si="9"/>
        <v>2.1198363869552501E-2</v>
      </c>
      <c r="D263">
        <f t="shared" si="4"/>
        <v>1.9309815440057488E-2</v>
      </c>
      <c r="E263">
        <f t="shared" si="5"/>
        <v>3.1761819962342085E-2</v>
      </c>
      <c r="F263">
        <f t="shared" si="6"/>
        <v>4.4921348097098739E-2</v>
      </c>
      <c r="G263">
        <f t="shared" si="7"/>
        <v>-3.1761819962342085E-2</v>
      </c>
      <c r="H263">
        <f t="shared" si="8"/>
        <v>-4.4921348097098739E-2</v>
      </c>
    </row>
    <row r="264" spans="1:8" x14ac:dyDescent="0.2">
      <c r="A264" s="1">
        <v>44788</v>
      </c>
      <c r="B264">
        <v>170.17400000000001</v>
      </c>
      <c r="C264">
        <f t="shared" si="9"/>
        <v>6.307532745953204E-3</v>
      </c>
      <c r="D264">
        <f t="shared" si="4"/>
        <v>1.9308505302369078E-2</v>
      </c>
      <c r="E264">
        <f t="shared" si="5"/>
        <v>3.1759664977613497E-2</v>
      </c>
      <c r="F264">
        <f t="shared" si="6"/>
        <v>4.4918300261072602E-2</v>
      </c>
      <c r="G264">
        <f t="shared" si="7"/>
        <v>-3.1759664977613497E-2</v>
      </c>
      <c r="H264">
        <f t="shared" si="8"/>
        <v>-4.4918300261072602E-2</v>
      </c>
    </row>
    <row r="265" spans="1:8" x14ac:dyDescent="0.2">
      <c r="A265" s="1">
        <v>44789</v>
      </c>
      <c r="B265">
        <v>170.018</v>
      </c>
      <c r="C265">
        <f t="shared" si="9"/>
        <v>-9.171292148824889E-4</v>
      </c>
      <c r="D265">
        <f t="shared" si="4"/>
        <v>1.9235824741858681E-2</v>
      </c>
      <c r="E265">
        <f t="shared" si="5"/>
        <v>3.1640116094049105E-2</v>
      </c>
      <c r="F265">
        <f t="shared" si="6"/>
        <v>4.4749219993645145E-2</v>
      </c>
      <c r="G265">
        <f t="shared" si="7"/>
        <v>-3.1640116094049105E-2</v>
      </c>
      <c r="H265">
        <f t="shared" si="8"/>
        <v>-4.4749219993645145E-2</v>
      </c>
    </row>
    <row r="266" spans="1:8" x14ac:dyDescent="0.2">
      <c r="A266" s="1">
        <v>44790</v>
      </c>
      <c r="B266">
        <v>171.512</v>
      </c>
      <c r="C266">
        <f t="shared" si="9"/>
        <v>8.748921205567927E-3</v>
      </c>
      <c r="D266">
        <f t="shared" si="4"/>
        <v>1.9242309048280594E-2</v>
      </c>
      <c r="E266">
        <f t="shared" si="5"/>
        <v>3.1650781828985453E-2</v>
      </c>
      <c r="F266">
        <f t="shared" si="6"/>
        <v>4.4764304746104391E-2</v>
      </c>
      <c r="G266">
        <f t="shared" si="7"/>
        <v>-3.1650781828985453E-2</v>
      </c>
      <c r="H266">
        <f t="shared" si="8"/>
        <v>-4.4764304746104391E-2</v>
      </c>
    </row>
    <row r="267" spans="1:8" x14ac:dyDescent="0.2">
      <c r="A267" s="1">
        <v>44791</v>
      </c>
      <c r="B267">
        <v>171.11799999999999</v>
      </c>
      <c r="C267">
        <f t="shared" si="9"/>
        <v>-2.2998580023165997E-3</v>
      </c>
      <c r="D267">
        <f t="shared" si="4"/>
        <v>1.9234144047214716E-2</v>
      </c>
      <c r="E267">
        <f t="shared" si="5"/>
        <v>3.1637351597368184E-2</v>
      </c>
      <c r="F267">
        <f t="shared" si="6"/>
        <v>4.4745310113233246E-2</v>
      </c>
      <c r="G267">
        <f t="shared" si="7"/>
        <v>-3.1637351597368184E-2</v>
      </c>
      <c r="H267">
        <f t="shared" si="8"/>
        <v>-4.4745310113233246E-2</v>
      </c>
    </row>
    <row r="268" spans="1:8" x14ac:dyDescent="0.2">
      <c r="A268" s="1">
        <v>44792</v>
      </c>
      <c r="B268">
        <v>168.53399999999999</v>
      </c>
      <c r="C268">
        <f t="shared" si="9"/>
        <v>-1.5215867148396834E-2</v>
      </c>
      <c r="D268">
        <f t="shared" si="4"/>
        <v>1.9250645780309814E-2</v>
      </c>
      <c r="E268">
        <f t="shared" si="5"/>
        <v>3.1664494532900635E-2</v>
      </c>
      <c r="F268">
        <f t="shared" si="6"/>
        <v>4.4783698884937016E-2</v>
      </c>
      <c r="G268">
        <f t="shared" si="7"/>
        <v>-3.1664494532900635E-2</v>
      </c>
      <c r="H268">
        <f t="shared" si="8"/>
        <v>-4.4783698884937016E-2</v>
      </c>
    </row>
    <row r="269" spans="1:8" x14ac:dyDescent="0.2">
      <c r="A269" s="1">
        <v>44795</v>
      </c>
      <c r="B269">
        <v>164.65100000000001</v>
      </c>
      <c r="C269">
        <f t="shared" si="9"/>
        <v>-2.3309427559767344E-2</v>
      </c>
      <c r="D269">
        <f t="shared" si="4"/>
        <v>1.9309662016956261E-2</v>
      </c>
      <c r="E269">
        <f t="shared" si="5"/>
        <v>3.1761567603797572E-2</v>
      </c>
      <c r="F269">
        <f t="shared" si="6"/>
        <v>4.4920991181593373E-2</v>
      </c>
      <c r="G269">
        <f t="shared" si="7"/>
        <v>-3.1761567603797572E-2</v>
      </c>
      <c r="H269">
        <f t="shared" si="8"/>
        <v>-4.4920991181593373E-2</v>
      </c>
    </row>
    <row r="270" spans="1:8" x14ac:dyDescent="0.2">
      <c r="A270" s="1">
        <v>44796</v>
      </c>
      <c r="B270">
        <v>164.31800000000001</v>
      </c>
      <c r="C270">
        <f t="shared" si="9"/>
        <v>-2.0245075599038403E-3</v>
      </c>
      <c r="D270">
        <f t="shared" si="4"/>
        <v>1.9301907266601942E-2</v>
      </c>
      <c r="E270">
        <f t="shared" si="5"/>
        <v>3.1748812174551166E-2</v>
      </c>
      <c r="F270">
        <f t="shared" si="6"/>
        <v>4.4902950934592886E-2</v>
      </c>
      <c r="G270">
        <f t="shared" si="7"/>
        <v>-3.1748812174551166E-2</v>
      </c>
      <c r="H270">
        <f t="shared" si="8"/>
        <v>-4.4902950934592886E-2</v>
      </c>
    </row>
    <row r="271" spans="1:8" x14ac:dyDescent="0.2">
      <c r="A271" s="1">
        <v>44797</v>
      </c>
      <c r="B271">
        <v>164.61199999999999</v>
      </c>
      <c r="C271">
        <f t="shared" si="9"/>
        <v>1.7876148620763013E-3</v>
      </c>
      <c r="D271">
        <f t="shared" si="4"/>
        <v>1.9298231626856854E-2</v>
      </c>
      <c r="E271">
        <f t="shared" si="5"/>
        <v>3.1742766285185089E-2</v>
      </c>
      <c r="F271">
        <f t="shared" si="6"/>
        <v>4.489440011788616E-2</v>
      </c>
      <c r="G271">
        <f t="shared" si="7"/>
        <v>-3.1742766285185089E-2</v>
      </c>
      <c r="H271">
        <f t="shared" si="8"/>
        <v>-4.489440011788616E-2</v>
      </c>
    </row>
    <row r="272" spans="1:8" x14ac:dyDescent="0.2">
      <c r="A272" s="1">
        <v>44798</v>
      </c>
      <c r="B272">
        <v>167.07</v>
      </c>
      <c r="C272">
        <f t="shared" si="9"/>
        <v>1.4821696674365063E-2</v>
      </c>
      <c r="D272">
        <f t="shared" si="4"/>
        <v>1.9314819200983564E-2</v>
      </c>
      <c r="E272">
        <f t="shared" si="5"/>
        <v>3.1770050416649737E-2</v>
      </c>
      <c r="F272">
        <f t="shared" si="6"/>
        <v>4.4932988585691322E-2</v>
      </c>
      <c r="G272">
        <f t="shared" si="7"/>
        <v>-3.1770050416649737E-2</v>
      </c>
      <c r="H272">
        <f t="shared" si="8"/>
        <v>-4.4932988585691322E-2</v>
      </c>
    </row>
    <row r="273" spans="1:8" x14ac:dyDescent="0.2">
      <c r="A273" s="1">
        <v>44799</v>
      </c>
      <c r="B273">
        <v>160.77099999999999</v>
      </c>
      <c r="C273">
        <f t="shared" si="9"/>
        <v>-3.8431894048230199E-2</v>
      </c>
      <c r="D273">
        <f t="shared" si="4"/>
        <v>1.9380273131511628E-2</v>
      </c>
      <c r="E273">
        <f t="shared" si="5"/>
        <v>3.1877712551677054E-2</v>
      </c>
      <c r="F273">
        <f t="shared" si="6"/>
        <v>4.5085257197822901E-2</v>
      </c>
      <c r="G273">
        <f t="shared" si="7"/>
        <v>-3.1877712551677054E-2</v>
      </c>
      <c r="H273">
        <f t="shared" si="8"/>
        <v>-4.5085257197822901E-2</v>
      </c>
    </row>
    <row r="274" spans="1:8" x14ac:dyDescent="0.2">
      <c r="A274" s="1">
        <v>44802</v>
      </c>
      <c r="B274">
        <v>158.57</v>
      </c>
      <c r="C274">
        <f t="shared" si="9"/>
        <v>-1.3784856019980567E-2</v>
      </c>
      <c r="D274">
        <f t="shared" si="4"/>
        <v>1.9392780148106629E-2</v>
      </c>
      <c r="E274">
        <f t="shared" si="5"/>
        <v>3.1898284763285684E-2</v>
      </c>
      <c r="F274">
        <f t="shared" si="6"/>
        <v>4.5114352869289276E-2</v>
      </c>
      <c r="G274">
        <f t="shared" si="7"/>
        <v>-3.1898284763285684E-2</v>
      </c>
      <c r="H274">
        <f t="shared" si="8"/>
        <v>-4.5114352869289276E-2</v>
      </c>
    </row>
    <row r="275" spans="1:8" x14ac:dyDescent="0.2">
      <c r="A275" s="1">
        <v>44803</v>
      </c>
      <c r="B275">
        <v>156.143</v>
      </c>
      <c r="C275">
        <f t="shared" si="9"/>
        <v>-1.5423882167586127E-2</v>
      </c>
      <c r="D275">
        <f t="shared" si="4"/>
        <v>1.9416248918090531E-2</v>
      </c>
      <c r="E275">
        <f t="shared" si="5"/>
        <v>3.1936887454713798E-2</v>
      </c>
      <c r="F275">
        <f t="shared" si="6"/>
        <v>4.5168949392447678E-2</v>
      </c>
      <c r="G275">
        <f t="shared" si="7"/>
        <v>-3.1936887454713798E-2</v>
      </c>
      <c r="H275">
        <f t="shared" si="8"/>
        <v>-4.5168949392447678E-2</v>
      </c>
    </row>
    <row r="276" spans="1:8" x14ac:dyDescent="0.2">
      <c r="A276" s="1">
        <v>44804</v>
      </c>
      <c r="B276">
        <v>154.482</v>
      </c>
      <c r="C276">
        <f t="shared" si="9"/>
        <v>-1.0694669337676479E-2</v>
      </c>
      <c r="D276">
        <f t="shared" si="4"/>
        <v>1.9422934795013409E-2</v>
      </c>
      <c r="E276">
        <f t="shared" si="5"/>
        <v>3.1947884743619738E-2</v>
      </c>
      <c r="F276">
        <f t="shared" si="6"/>
        <v>4.5184503068013318E-2</v>
      </c>
      <c r="G276">
        <f t="shared" si="7"/>
        <v>-3.1947884743619738E-2</v>
      </c>
      <c r="H276">
        <f t="shared" si="8"/>
        <v>-4.5184503068013318E-2</v>
      </c>
    </row>
    <row r="277" spans="1:8" x14ac:dyDescent="0.2">
      <c r="A277" s="1">
        <v>44805</v>
      </c>
      <c r="B277">
        <v>155.21</v>
      </c>
      <c r="C277">
        <f t="shared" si="9"/>
        <v>4.7014539668797321E-3</v>
      </c>
      <c r="D277">
        <f t="shared" si="4"/>
        <v>1.9423406135742886E-2</v>
      </c>
      <c r="E277">
        <f t="shared" si="5"/>
        <v>3.1948660030128154E-2</v>
      </c>
      <c r="F277">
        <f t="shared" si="6"/>
        <v>4.5185599570517286E-2</v>
      </c>
      <c r="G277">
        <f t="shared" si="7"/>
        <v>-3.1948660030128154E-2</v>
      </c>
      <c r="H277">
        <f t="shared" si="8"/>
        <v>-4.5185599570517286E-2</v>
      </c>
    </row>
    <row r="278" spans="1:8" x14ac:dyDescent="0.2">
      <c r="A278" s="1">
        <v>44806</v>
      </c>
      <c r="B278">
        <v>153.09800000000001</v>
      </c>
      <c r="C278">
        <f t="shared" si="9"/>
        <v>-1.3700799442064308E-2</v>
      </c>
      <c r="D278">
        <f t="shared" si="4"/>
        <v>1.9418720770857711E-2</v>
      </c>
      <c r="E278">
        <f t="shared" si="5"/>
        <v>3.1940953290703185E-2</v>
      </c>
      <c r="F278">
        <f t="shared" si="6"/>
        <v>4.5174699781877554E-2</v>
      </c>
      <c r="G278">
        <f t="shared" si="7"/>
        <v>-3.1940953290703185E-2</v>
      </c>
      <c r="H278">
        <f t="shared" si="8"/>
        <v>-4.5174699781877554E-2</v>
      </c>
    </row>
    <row r="279" spans="1:8" x14ac:dyDescent="0.2">
      <c r="A279" s="1">
        <v>44810</v>
      </c>
      <c r="B279">
        <v>151.83799999999999</v>
      </c>
      <c r="C279">
        <f t="shared" si="9"/>
        <v>-8.2640762059067452E-3</v>
      </c>
      <c r="D279">
        <f t="shared" si="4"/>
        <v>1.9415060249126224E-2</v>
      </c>
      <c r="E279">
        <f t="shared" si="5"/>
        <v>3.1934932268256611E-2</v>
      </c>
      <c r="F279">
        <f t="shared" si="6"/>
        <v>4.5166184134929628E-2</v>
      </c>
      <c r="G279">
        <f t="shared" si="7"/>
        <v>-3.1934932268256611E-2</v>
      </c>
      <c r="H279">
        <f t="shared" si="8"/>
        <v>-4.5166184134929628E-2</v>
      </c>
    </row>
    <row r="280" spans="1:8" x14ac:dyDescent="0.2">
      <c r="A280" s="1">
        <v>44811</v>
      </c>
      <c r="B280">
        <v>153.245</v>
      </c>
      <c r="C280">
        <f t="shared" si="9"/>
        <v>9.2237848415390438E-3</v>
      </c>
      <c r="D280">
        <f t="shared" si="4"/>
        <v>1.9419086507075266E-2</v>
      </c>
      <c r="E280">
        <f t="shared" si="5"/>
        <v>3.1941554873247131E-2</v>
      </c>
      <c r="F280">
        <f t="shared" si="6"/>
        <v>4.5175550611549722E-2</v>
      </c>
      <c r="G280">
        <f t="shared" si="7"/>
        <v>-3.1941554873247131E-2</v>
      </c>
      <c r="H280">
        <f t="shared" si="8"/>
        <v>-4.5175550611549722E-2</v>
      </c>
    </row>
    <row r="281" spans="1:8" x14ac:dyDescent="0.2">
      <c r="A281" s="1">
        <v>44812</v>
      </c>
      <c r="B281">
        <v>151.77000000000001</v>
      </c>
      <c r="C281">
        <f t="shared" si="9"/>
        <v>-9.6717308847066776E-3</v>
      </c>
      <c r="D281">
        <f t="shared" si="4"/>
        <v>1.9310650337455403E-2</v>
      </c>
      <c r="E281">
        <f t="shared" si="5"/>
        <v>3.1763193246355174E-2</v>
      </c>
      <c r="F281">
        <f t="shared" si="6"/>
        <v>4.4923290358885419E-2</v>
      </c>
      <c r="G281">
        <f t="shared" si="7"/>
        <v>-3.1763193246355174E-2</v>
      </c>
      <c r="H281">
        <f t="shared" si="8"/>
        <v>-4.4923290358885419E-2</v>
      </c>
    </row>
    <row r="282" spans="1:8" x14ac:dyDescent="0.2">
      <c r="A282" s="1">
        <v>44813</v>
      </c>
      <c r="B282">
        <v>154.62899999999999</v>
      </c>
      <c r="C282">
        <f t="shared" si="9"/>
        <v>1.8662482444094745E-2</v>
      </c>
      <c r="D282">
        <f t="shared" si="4"/>
        <v>1.9344655690768871E-2</v>
      </c>
      <c r="E282">
        <f t="shared" si="5"/>
        <v>3.1819127075088605E-2</v>
      </c>
      <c r="F282">
        <f t="shared" si="6"/>
        <v>4.5002398640272216E-2</v>
      </c>
      <c r="G282">
        <f t="shared" si="7"/>
        <v>-3.1819127075088605E-2</v>
      </c>
      <c r="H282">
        <f t="shared" si="8"/>
        <v>-4.5002398640272216E-2</v>
      </c>
    </row>
    <row r="283" spans="1:8" x14ac:dyDescent="0.2">
      <c r="A283" s="1">
        <v>44816</v>
      </c>
      <c r="B283">
        <v>160.584</v>
      </c>
      <c r="C283">
        <f t="shared" si="9"/>
        <v>3.7788470732576351E-2</v>
      </c>
      <c r="D283">
        <f t="shared" si="4"/>
        <v>1.9479587146540103E-2</v>
      </c>
      <c r="E283">
        <f t="shared" si="5"/>
        <v>3.2041069569503755E-2</v>
      </c>
      <c r="F283">
        <f t="shared" si="6"/>
        <v>4.5316296145546858E-2</v>
      </c>
      <c r="G283">
        <f t="shared" si="7"/>
        <v>-3.2041069569503755E-2</v>
      </c>
      <c r="H283">
        <f t="shared" si="8"/>
        <v>-4.5316296145546858E-2</v>
      </c>
    </row>
    <row r="284" spans="1:8" x14ac:dyDescent="0.2">
      <c r="A284" s="1">
        <v>44817</v>
      </c>
      <c r="B284">
        <v>151.16</v>
      </c>
      <c r="C284">
        <f t="shared" si="9"/>
        <v>-6.0478291667337286E-2</v>
      </c>
      <c r="D284">
        <f t="shared" si="4"/>
        <v>1.9853041950084992E-2</v>
      </c>
      <c r="E284">
        <f t="shared" si="5"/>
        <v>3.2655348057617016E-2</v>
      </c>
      <c r="F284">
        <f t="shared" si="6"/>
        <v>4.6185081933823847E-2</v>
      </c>
      <c r="G284">
        <f t="shared" si="7"/>
        <v>-3.2655348057617016E-2</v>
      </c>
      <c r="H284">
        <f t="shared" si="8"/>
        <v>-4.6185081933823847E-2</v>
      </c>
    </row>
    <row r="285" spans="1:8" x14ac:dyDescent="0.2">
      <c r="A285" s="1">
        <v>44818</v>
      </c>
      <c r="B285">
        <v>152.60400000000001</v>
      </c>
      <c r="C285">
        <f t="shared" si="9"/>
        <v>9.5074523453218835E-3</v>
      </c>
      <c r="D285">
        <f t="shared" si="4"/>
        <v>1.9861532322285179E-2</v>
      </c>
      <c r="E285">
        <f t="shared" si="5"/>
        <v>3.2669313477124658E-2</v>
      </c>
      <c r="F285">
        <f t="shared" si="6"/>
        <v>4.620483349314157E-2</v>
      </c>
      <c r="G285">
        <f t="shared" si="7"/>
        <v>-3.2669313477124658E-2</v>
      </c>
      <c r="H285">
        <f t="shared" si="8"/>
        <v>-4.620483349314157E-2</v>
      </c>
    </row>
    <row r="286" spans="1:8" x14ac:dyDescent="0.2">
      <c r="A286" s="1">
        <v>44819</v>
      </c>
      <c r="B286">
        <v>149.71700000000001</v>
      </c>
      <c r="C286">
        <f t="shared" si="9"/>
        <v>-1.9099485394285867E-2</v>
      </c>
      <c r="D286">
        <f t="shared" si="4"/>
        <v>1.9863986513914456E-2</v>
      </c>
      <c r="E286">
        <f t="shared" si="5"/>
        <v>3.2673350263127308E-2</v>
      </c>
      <c r="F286">
        <f t="shared" si="6"/>
        <v>4.6210542796620825E-2</v>
      </c>
      <c r="G286">
        <f t="shared" si="7"/>
        <v>-3.2673350263127308E-2</v>
      </c>
      <c r="H286">
        <f t="shared" si="8"/>
        <v>-4.6210542796620825E-2</v>
      </c>
    </row>
    <row r="287" spans="1:8" x14ac:dyDescent="0.2">
      <c r="A287" s="1">
        <v>44820</v>
      </c>
      <c r="B287">
        <v>148.07499999999999</v>
      </c>
      <c r="C287">
        <f t="shared" si="9"/>
        <v>-1.1027943269295541E-2</v>
      </c>
      <c r="D287">
        <f t="shared" si="4"/>
        <v>1.9828556095948597E-2</v>
      </c>
      <c r="E287">
        <f t="shared" si="5"/>
        <v>3.2615072411631758E-2</v>
      </c>
      <c r="F287">
        <f t="shared" si="6"/>
        <v>4.6128119319109574E-2</v>
      </c>
      <c r="G287">
        <f t="shared" si="7"/>
        <v>-3.2615072411631758E-2</v>
      </c>
      <c r="H287">
        <f t="shared" si="8"/>
        <v>-4.6128119319109574E-2</v>
      </c>
    </row>
    <row r="288" spans="1:8" x14ac:dyDescent="0.2">
      <c r="A288" s="1">
        <v>44823</v>
      </c>
      <c r="B288">
        <v>151.79</v>
      </c>
      <c r="C288">
        <f t="shared" si="9"/>
        <v>2.4779084475739007E-2</v>
      </c>
      <c r="D288">
        <f t="shared" si="4"/>
        <v>1.9888240280806838E-2</v>
      </c>
      <c r="E288">
        <f t="shared" si="5"/>
        <v>3.271324415956748E-2</v>
      </c>
      <c r="F288">
        <f t="shared" si="6"/>
        <v>4.6266965495668402E-2</v>
      </c>
      <c r="G288">
        <f t="shared" si="7"/>
        <v>-3.271324415956748E-2</v>
      </c>
      <c r="H288">
        <f t="shared" si="8"/>
        <v>-4.6266965495668402E-2</v>
      </c>
    </row>
    <row r="289" spans="1:8" x14ac:dyDescent="0.2">
      <c r="A289" s="1">
        <v>44824</v>
      </c>
      <c r="B289">
        <v>154.166</v>
      </c>
      <c r="C289">
        <f t="shared" si="9"/>
        <v>1.5531957311928205E-2</v>
      </c>
      <c r="D289">
        <f t="shared" si="4"/>
        <v>1.9884447413907921E-2</v>
      </c>
      <c r="E289">
        <f t="shared" si="5"/>
        <v>3.2707005448692254E-2</v>
      </c>
      <c r="F289">
        <f t="shared" si="6"/>
        <v>4.6258141967821589E-2</v>
      </c>
      <c r="G289">
        <f t="shared" si="7"/>
        <v>-3.2707005448692254E-2</v>
      </c>
      <c r="H289">
        <f t="shared" si="8"/>
        <v>-4.6258141967821589E-2</v>
      </c>
    </row>
    <row r="290" spans="1:8" x14ac:dyDescent="0.2">
      <c r="A290" s="1">
        <v>44825</v>
      </c>
      <c r="B290">
        <v>151.04300000000001</v>
      </c>
      <c r="C290">
        <f t="shared" si="9"/>
        <v>-2.0465379462622391E-2</v>
      </c>
      <c r="D290">
        <f t="shared" si="4"/>
        <v>1.9923562043460318E-2</v>
      </c>
      <c r="E290">
        <f t="shared" si="5"/>
        <v>3.2771343288978377E-2</v>
      </c>
      <c r="F290">
        <f t="shared" si="6"/>
        <v>4.6349136203124697E-2</v>
      </c>
      <c r="G290">
        <f t="shared" si="7"/>
        <v>-3.2771343288978377E-2</v>
      </c>
      <c r="H290">
        <f t="shared" si="8"/>
        <v>-4.6349136203124697E-2</v>
      </c>
    </row>
    <row r="291" spans="1:8" x14ac:dyDescent="0.2">
      <c r="A291" s="1">
        <v>44826</v>
      </c>
      <c r="B291">
        <v>150.08099999999999</v>
      </c>
      <c r="C291">
        <f t="shared" si="9"/>
        <v>-6.3894161393511549E-3</v>
      </c>
      <c r="D291">
        <f t="shared" si="4"/>
        <v>1.9927908109513271E-2</v>
      </c>
      <c r="E291">
        <f t="shared" si="5"/>
        <v>3.2778491931488546E-2</v>
      </c>
      <c r="F291">
        <f t="shared" si="6"/>
        <v>4.6359246664647427E-2</v>
      </c>
      <c r="G291">
        <f t="shared" si="7"/>
        <v>-3.2778491931488546E-2</v>
      </c>
      <c r="H291">
        <f t="shared" si="8"/>
        <v>-4.6359246664647427E-2</v>
      </c>
    </row>
    <row r="292" spans="1:8" x14ac:dyDescent="0.2">
      <c r="A292" s="1">
        <v>44827</v>
      </c>
      <c r="B292">
        <v>147.81200000000001</v>
      </c>
      <c r="C292">
        <f t="shared" si="9"/>
        <v>-1.5233952332039204E-2</v>
      </c>
      <c r="D292">
        <f t="shared" si="4"/>
        <v>1.9940135742070438E-2</v>
      </c>
      <c r="E292">
        <f t="shared" si="5"/>
        <v>3.2798604597249231E-2</v>
      </c>
      <c r="F292">
        <f t="shared" si="6"/>
        <v>4.6387692391651345E-2</v>
      </c>
      <c r="G292">
        <f t="shared" si="7"/>
        <v>-3.2798604597249231E-2</v>
      </c>
      <c r="H292">
        <f t="shared" si="8"/>
        <v>-4.6387692391651345E-2</v>
      </c>
    </row>
    <row r="293" spans="1:8" x14ac:dyDescent="0.2">
      <c r="A293" s="1">
        <v>44830</v>
      </c>
      <c r="B293">
        <v>148.14400000000001</v>
      </c>
      <c r="C293">
        <f t="shared" si="9"/>
        <v>2.2435776890082177E-3</v>
      </c>
      <c r="D293">
        <f t="shared" si="4"/>
        <v>1.9880462265376535E-2</v>
      </c>
      <c r="E293">
        <f t="shared" si="5"/>
        <v>3.2700450462676459E-2</v>
      </c>
      <c r="F293">
        <f t="shared" si="6"/>
        <v>4.6248871126007861E-2</v>
      </c>
      <c r="G293">
        <f t="shared" si="7"/>
        <v>-3.2700450462676459E-2</v>
      </c>
      <c r="H293">
        <f t="shared" si="8"/>
        <v>-4.6248871126007861E-2</v>
      </c>
    </row>
    <row r="294" spans="1:8" x14ac:dyDescent="0.2">
      <c r="A294" s="1">
        <v>44831</v>
      </c>
      <c r="B294">
        <v>149.11600000000001</v>
      </c>
      <c r="C294">
        <f t="shared" si="9"/>
        <v>6.5397528374842688E-3</v>
      </c>
      <c r="D294">
        <f t="shared" si="4"/>
        <v>1.9880523255307782E-2</v>
      </c>
      <c r="E294">
        <f t="shared" si="5"/>
        <v>3.2700550782186082E-2</v>
      </c>
      <c r="F294">
        <f t="shared" si="6"/>
        <v>4.6249013009804753E-2</v>
      </c>
      <c r="G294">
        <f t="shared" si="7"/>
        <v>-3.2700550782186082E-2</v>
      </c>
      <c r="H294">
        <f t="shared" si="8"/>
        <v>-4.6249013009804753E-2</v>
      </c>
    </row>
    <row r="295" spans="1:8" x14ac:dyDescent="0.2">
      <c r="A295" s="1">
        <v>44832</v>
      </c>
      <c r="B295">
        <v>147.22999999999999</v>
      </c>
      <c r="C295">
        <f t="shared" si="9"/>
        <v>-1.2728536665858381E-2</v>
      </c>
      <c r="D295">
        <f t="shared" si="4"/>
        <v>1.9888173086641675E-2</v>
      </c>
      <c r="E295">
        <f t="shared" si="5"/>
        <v>3.2713133635001203E-2</v>
      </c>
      <c r="F295">
        <f t="shared" si="6"/>
        <v>4.6266809178665123E-2</v>
      </c>
      <c r="G295">
        <f t="shared" si="7"/>
        <v>-3.2713133635001203E-2</v>
      </c>
      <c r="H295">
        <f t="shared" si="8"/>
        <v>-4.6266809178665123E-2</v>
      </c>
    </row>
    <row r="296" spans="1:8" x14ac:dyDescent="0.2">
      <c r="A296" s="1">
        <v>44833</v>
      </c>
      <c r="B296">
        <v>140</v>
      </c>
      <c r="C296">
        <f t="shared" si="9"/>
        <v>-5.0353567268012857E-2</v>
      </c>
      <c r="D296">
        <f t="shared" si="4"/>
        <v>2.0137507686274342E-2</v>
      </c>
      <c r="E296">
        <f t="shared" si="5"/>
        <v>3.3123252555531488E-2</v>
      </c>
      <c r="F296">
        <f t="shared" si="6"/>
        <v>4.6846848194445408E-2</v>
      </c>
      <c r="G296">
        <f t="shared" si="7"/>
        <v>-3.3123252555531488E-2</v>
      </c>
      <c r="H296">
        <f t="shared" si="8"/>
        <v>-4.6846848194445408E-2</v>
      </c>
    </row>
    <row r="297" spans="1:8" x14ac:dyDescent="0.2">
      <c r="A297" s="1">
        <v>44834</v>
      </c>
      <c r="B297">
        <v>135.79300000000001</v>
      </c>
      <c r="C297">
        <f t="shared" si="9"/>
        <v>-3.0510755205021937E-2</v>
      </c>
      <c r="D297">
        <f t="shared" si="4"/>
        <v>2.0168522692170784E-2</v>
      </c>
      <c r="E297">
        <f t="shared" si="5"/>
        <v>3.3174267700470168E-2</v>
      </c>
      <c r="F297">
        <f t="shared" si="6"/>
        <v>4.6918999887475957E-2</v>
      </c>
      <c r="G297">
        <f t="shared" si="7"/>
        <v>-3.3174267700470168E-2</v>
      </c>
      <c r="H297">
        <f t="shared" si="8"/>
        <v>-4.6918999887475957E-2</v>
      </c>
    </row>
    <row r="298" spans="1:8" x14ac:dyDescent="0.2">
      <c r="A298" s="1">
        <v>44837</v>
      </c>
      <c r="B298">
        <v>139.97</v>
      </c>
      <c r="C298">
        <f t="shared" si="9"/>
        <v>3.0296446528272153E-2</v>
      </c>
      <c r="D298">
        <f t="shared" si="4"/>
        <v>2.0240253301203458E-2</v>
      </c>
      <c r="E298">
        <f t="shared" si="5"/>
        <v>3.3292254052901003E-2</v>
      </c>
      <c r="F298">
        <f t="shared" si="6"/>
        <v>4.708587023730277E-2</v>
      </c>
      <c r="G298">
        <f t="shared" si="7"/>
        <v>-3.3292254052901003E-2</v>
      </c>
      <c r="H298">
        <f t="shared" si="8"/>
        <v>-4.708587023730277E-2</v>
      </c>
    </row>
    <row r="299" spans="1:8" x14ac:dyDescent="0.2">
      <c r="A299" s="1">
        <v>44838</v>
      </c>
      <c r="B299">
        <v>143.55699999999999</v>
      </c>
      <c r="C299">
        <f t="shared" si="9"/>
        <v>2.5304054942657139E-2</v>
      </c>
      <c r="D299">
        <f t="shared" si="4"/>
        <v>2.0299366954750875E-2</v>
      </c>
      <c r="E299">
        <f t="shared" si="5"/>
        <v>3.3389487360340822E-2</v>
      </c>
      <c r="F299">
        <f t="shared" si="6"/>
        <v>4.7223389159559592E-2</v>
      </c>
      <c r="G299">
        <f t="shared" si="7"/>
        <v>-3.3389487360340822E-2</v>
      </c>
      <c r="H299">
        <f t="shared" si="8"/>
        <v>-4.7223389159559592E-2</v>
      </c>
    </row>
    <row r="300" spans="1:8" x14ac:dyDescent="0.2">
      <c r="A300" s="1">
        <v>44839</v>
      </c>
      <c r="B300">
        <v>143.84899999999999</v>
      </c>
      <c r="C300">
        <f t="shared" si="9"/>
        <v>2.0319694123983956E-3</v>
      </c>
      <c r="D300">
        <f t="shared" si="4"/>
        <v>2.0291757523626362E-2</v>
      </c>
      <c r="E300">
        <f t="shared" si="5"/>
        <v>3.3376970959956634E-2</v>
      </c>
      <c r="F300">
        <f t="shared" si="6"/>
        <v>4.7205686975640419E-2</v>
      </c>
      <c r="G300">
        <f t="shared" si="7"/>
        <v>-3.3376970959956634E-2</v>
      </c>
      <c r="H300">
        <f t="shared" si="8"/>
        <v>-4.7205686975640419E-2</v>
      </c>
    </row>
    <row r="301" spans="1:8" x14ac:dyDescent="0.2">
      <c r="A301" s="1">
        <v>44840</v>
      </c>
      <c r="B301">
        <v>142.899</v>
      </c>
      <c r="C301">
        <f t="shared" si="9"/>
        <v>-6.6260512769034125E-3</v>
      </c>
      <c r="D301">
        <f t="shared" si="4"/>
        <v>2.0295432572319843E-2</v>
      </c>
      <c r="E301">
        <f t="shared" si="5"/>
        <v>3.3383015877129329E-2</v>
      </c>
      <c r="F301">
        <f t="shared" si="6"/>
        <v>4.7214236417355497E-2</v>
      </c>
      <c r="G301">
        <f t="shared" si="7"/>
        <v>-3.3383015877129329E-2</v>
      </c>
      <c r="H301">
        <f t="shared" si="8"/>
        <v>-4.7214236417355497E-2</v>
      </c>
    </row>
    <row r="302" spans="1:8" x14ac:dyDescent="0.2">
      <c r="A302" s="1">
        <v>44841</v>
      </c>
      <c r="B302">
        <v>137.65100000000001</v>
      </c>
      <c r="C302">
        <f t="shared" si="9"/>
        <v>-3.741659064644446E-2</v>
      </c>
      <c r="D302">
        <f t="shared" si="4"/>
        <v>2.043357640199368E-2</v>
      </c>
      <c r="E302">
        <f t="shared" si="5"/>
        <v>3.3610242256409302E-2</v>
      </c>
      <c r="F302">
        <f t="shared" si="6"/>
        <v>4.7535607021829088E-2</v>
      </c>
      <c r="G302">
        <f t="shared" si="7"/>
        <v>-3.3610242256409302E-2</v>
      </c>
      <c r="H302">
        <f t="shared" si="8"/>
        <v>-4.7535607021829088E-2</v>
      </c>
    </row>
    <row r="303" spans="1:8" x14ac:dyDescent="0.2">
      <c r="A303" s="1">
        <v>44844</v>
      </c>
      <c r="B303">
        <v>137.97399999999999</v>
      </c>
      <c r="C303">
        <f t="shared" si="9"/>
        <v>2.3437652452393018E-3</v>
      </c>
      <c r="D303">
        <f t="shared" si="4"/>
        <v>2.0425931718730521E-2</v>
      </c>
      <c r="E303">
        <f t="shared" si="5"/>
        <v>3.3597667871416999E-2</v>
      </c>
      <c r="F303">
        <f t="shared" si="6"/>
        <v>4.7517822829172121E-2</v>
      </c>
      <c r="G303">
        <f t="shared" si="7"/>
        <v>-3.3597667871416999E-2</v>
      </c>
      <c r="H303">
        <f t="shared" si="8"/>
        <v>-4.7517822829172121E-2</v>
      </c>
    </row>
    <row r="304" spans="1:8" x14ac:dyDescent="0.2">
      <c r="A304" s="1">
        <v>44845</v>
      </c>
      <c r="B304">
        <v>136.55799999999999</v>
      </c>
      <c r="C304">
        <f t="shared" si="9"/>
        <v>-1.0315828807599483E-2</v>
      </c>
      <c r="D304">
        <f t="shared" si="4"/>
        <v>2.0434575436933868E-2</v>
      </c>
      <c r="E304">
        <f t="shared" si="5"/>
        <v>3.3611885522654122E-2</v>
      </c>
      <c r="F304">
        <f t="shared" si="6"/>
        <v>4.7537931124638284E-2</v>
      </c>
      <c r="G304">
        <f t="shared" si="7"/>
        <v>-3.3611885522654122E-2</v>
      </c>
      <c r="H304">
        <f t="shared" si="8"/>
        <v>-4.7537931124638284E-2</v>
      </c>
    </row>
    <row r="305" spans="1:8" x14ac:dyDescent="0.2">
      <c r="A305" s="1">
        <v>44846</v>
      </c>
      <c r="B305">
        <v>135.93100000000001</v>
      </c>
      <c r="C305">
        <f t="shared" si="9"/>
        <v>-4.6020287540783737E-3</v>
      </c>
      <c r="D305">
        <f t="shared" si="4"/>
        <v>2.039653048213606E-2</v>
      </c>
      <c r="E305">
        <f t="shared" si="5"/>
        <v>3.3549307140767745E-2</v>
      </c>
      <c r="F305">
        <f t="shared" si="6"/>
        <v>4.7449425324926429E-2</v>
      </c>
      <c r="G305">
        <f t="shared" si="7"/>
        <v>-3.3549307140767745E-2</v>
      </c>
      <c r="H305">
        <f t="shared" si="8"/>
        <v>-4.7449425324926429E-2</v>
      </c>
    </row>
    <row r="306" spans="1:8" x14ac:dyDescent="0.2">
      <c r="A306" s="1">
        <v>44847</v>
      </c>
      <c r="B306">
        <v>140.5</v>
      </c>
      <c r="C306">
        <f t="shared" si="9"/>
        <v>3.3060084725976893E-2</v>
      </c>
      <c r="D306">
        <f t="shared" si="4"/>
        <v>2.0498685618830188E-2</v>
      </c>
      <c r="E306">
        <f t="shared" si="5"/>
        <v>3.3717337387870805E-2</v>
      </c>
      <c r="F306">
        <f t="shared" si="6"/>
        <v>4.7687073709997162E-2</v>
      </c>
      <c r="G306">
        <f t="shared" si="7"/>
        <v>-3.3717337387870805E-2</v>
      </c>
      <c r="H306">
        <f t="shared" si="8"/>
        <v>-4.7687073709997162E-2</v>
      </c>
    </row>
    <row r="307" spans="1:8" x14ac:dyDescent="0.2">
      <c r="A307" s="1">
        <v>44848</v>
      </c>
      <c r="B307">
        <v>135.97</v>
      </c>
      <c r="C307">
        <f t="shared" si="9"/>
        <v>-3.2773215606205774E-2</v>
      </c>
      <c r="D307">
        <f t="shared" si="4"/>
        <v>2.0589256266225542E-2</v>
      </c>
      <c r="E307">
        <f t="shared" si="5"/>
        <v>3.3866312845734395E-2</v>
      </c>
      <c r="F307">
        <f t="shared" si="6"/>
        <v>4.7897772543015846E-2</v>
      </c>
      <c r="G307">
        <f t="shared" si="7"/>
        <v>-3.3866312845734395E-2</v>
      </c>
      <c r="H307">
        <f t="shared" si="8"/>
        <v>-4.7897772543015846E-2</v>
      </c>
    </row>
    <row r="308" spans="1:8" x14ac:dyDescent="0.2">
      <c r="A308" s="1">
        <v>44851</v>
      </c>
      <c r="B308">
        <v>139.93</v>
      </c>
      <c r="C308">
        <f t="shared" si="9"/>
        <v>2.8708024400027496E-2</v>
      </c>
      <c r="D308">
        <f t="shared" si="4"/>
        <v>2.0648394002363655E-2</v>
      </c>
      <c r="E308">
        <f t="shared" si="5"/>
        <v>3.3963585765510867E-2</v>
      </c>
      <c r="F308">
        <f t="shared" si="6"/>
        <v>4.8035347489756339E-2</v>
      </c>
      <c r="G308">
        <f t="shared" si="7"/>
        <v>-3.3963585765510867E-2</v>
      </c>
      <c r="H308">
        <f t="shared" si="8"/>
        <v>-4.8035347489756339E-2</v>
      </c>
    </row>
    <row r="309" spans="1:8" x14ac:dyDescent="0.2">
      <c r="A309" s="1">
        <v>44852</v>
      </c>
      <c r="B309">
        <v>141.24600000000001</v>
      </c>
      <c r="C309">
        <f t="shared" si="9"/>
        <v>9.3607534738788974E-3</v>
      </c>
      <c r="D309">
        <f t="shared" si="4"/>
        <v>2.0655970974193454E-2</v>
      </c>
      <c r="E309">
        <f t="shared" si="5"/>
        <v>3.3976048775106425E-2</v>
      </c>
      <c r="F309">
        <f t="shared" si="6"/>
        <v>4.8052974162064256E-2</v>
      </c>
      <c r="G309">
        <f t="shared" si="7"/>
        <v>-3.3976048775106425E-2</v>
      </c>
      <c r="H309">
        <f t="shared" si="8"/>
        <v>-4.8052974162064256E-2</v>
      </c>
    </row>
    <row r="310" spans="1:8" x14ac:dyDescent="0.2">
      <c r="A310" s="1">
        <v>44853</v>
      </c>
      <c r="B310">
        <v>141.35599999999999</v>
      </c>
      <c r="C310">
        <f t="shared" si="9"/>
        <v>7.7848002176403547E-4</v>
      </c>
      <c r="D310">
        <f t="shared" si="4"/>
        <v>2.0655801444496243E-2</v>
      </c>
      <c r="E310">
        <f t="shared" si="5"/>
        <v>3.3975769923569092E-2</v>
      </c>
      <c r="F310">
        <f t="shared" si="6"/>
        <v>4.8052579777013563E-2</v>
      </c>
      <c r="G310">
        <f t="shared" si="7"/>
        <v>-3.3975769923569092E-2</v>
      </c>
      <c r="H310">
        <f t="shared" si="8"/>
        <v>-4.8052579777013563E-2</v>
      </c>
    </row>
    <row r="311" spans="1:8" x14ac:dyDescent="0.2">
      <c r="A311" s="1">
        <v>44854</v>
      </c>
      <c r="B311">
        <v>140.89400000000001</v>
      </c>
      <c r="C311">
        <f t="shared" si="9"/>
        <v>-3.27369645780569E-3</v>
      </c>
      <c r="D311">
        <f t="shared" si="4"/>
        <v>2.0654148854638527E-2</v>
      </c>
      <c r="E311">
        <f t="shared" si="5"/>
        <v>3.397305165514776E-2</v>
      </c>
      <c r="F311">
        <f t="shared" si="6"/>
        <v>4.8048735278111404E-2</v>
      </c>
      <c r="G311">
        <f t="shared" si="7"/>
        <v>-3.397305165514776E-2</v>
      </c>
      <c r="H311">
        <f t="shared" si="8"/>
        <v>-4.8048735278111404E-2</v>
      </c>
    </row>
    <row r="312" spans="1:8" x14ac:dyDescent="0.2">
      <c r="A312" s="1">
        <v>44855</v>
      </c>
      <c r="B312">
        <v>144.70500000000001</v>
      </c>
      <c r="C312">
        <f t="shared" si="9"/>
        <v>2.6689352685167513E-2</v>
      </c>
      <c r="D312">
        <f t="shared" si="4"/>
        <v>2.0723634082335549E-2</v>
      </c>
      <c r="E312">
        <f t="shared" si="5"/>
        <v>3.4087344683944761E-2</v>
      </c>
      <c r="F312">
        <f t="shared" si="6"/>
        <v>4.8210382089841616E-2</v>
      </c>
      <c r="G312">
        <f t="shared" si="7"/>
        <v>-3.4087344683944761E-2</v>
      </c>
      <c r="H312">
        <f t="shared" si="8"/>
        <v>-4.8210382089841616E-2</v>
      </c>
    </row>
    <row r="313" spans="1:8" x14ac:dyDescent="0.2">
      <c r="A313" s="1">
        <v>44858</v>
      </c>
      <c r="B313">
        <v>146.84899999999999</v>
      </c>
      <c r="C313">
        <f t="shared" si="9"/>
        <v>1.4707660661085292E-2</v>
      </c>
      <c r="D313">
        <f t="shared" si="4"/>
        <v>2.0742533732012233E-2</v>
      </c>
      <c r="E313">
        <f t="shared" si="5"/>
        <v>3.4118431841263563E-2</v>
      </c>
      <c r="F313">
        <f t="shared" si="6"/>
        <v>4.8254349249687085E-2</v>
      </c>
      <c r="G313">
        <f t="shared" si="7"/>
        <v>-3.4118431841263563E-2</v>
      </c>
      <c r="H313">
        <f t="shared" si="8"/>
        <v>-4.8254349249687085E-2</v>
      </c>
    </row>
    <row r="314" spans="1:8" x14ac:dyDescent="0.2">
      <c r="A314" s="1">
        <v>44859</v>
      </c>
      <c r="B314">
        <v>149.68700000000001</v>
      </c>
      <c r="C314">
        <f t="shared" si="9"/>
        <v>1.9141599355667924E-2</v>
      </c>
      <c r="D314">
        <f t="shared" si="4"/>
        <v>2.0776697194314891E-2</v>
      </c>
      <c r="E314">
        <f t="shared" si="5"/>
        <v>3.4174625736141308E-2</v>
      </c>
      <c r="F314">
        <f t="shared" si="6"/>
        <v>4.833382534758475E-2</v>
      </c>
      <c r="G314">
        <f t="shared" si="7"/>
        <v>-3.4174625736141308E-2</v>
      </c>
      <c r="H314">
        <f t="shared" si="8"/>
        <v>-4.833382534758475E-2</v>
      </c>
    </row>
    <row r="315" spans="1:8" x14ac:dyDescent="0.2">
      <c r="A315" s="1">
        <v>44860</v>
      </c>
      <c r="B315">
        <v>146.751</v>
      </c>
      <c r="C315">
        <f t="shared" si="9"/>
        <v>-1.980917431234043E-2</v>
      </c>
      <c r="D315">
        <f t="shared" si="4"/>
        <v>2.0755519870714376E-2</v>
      </c>
      <c r="E315">
        <f t="shared" si="5"/>
        <v>3.4139792138607877E-2</v>
      </c>
      <c r="F315">
        <f t="shared" si="6"/>
        <v>4.8284559525848814E-2</v>
      </c>
      <c r="G315">
        <f t="shared" si="7"/>
        <v>-3.4139792138607877E-2</v>
      </c>
      <c r="H315">
        <f t="shared" si="8"/>
        <v>-4.8284559525848814E-2</v>
      </c>
    </row>
    <row r="316" spans="1:8" x14ac:dyDescent="0.2">
      <c r="A316" s="1">
        <v>44861</v>
      </c>
      <c r="B316">
        <v>142.28100000000001</v>
      </c>
      <c r="C316">
        <f t="shared" si="9"/>
        <v>-3.0933297544769606E-2</v>
      </c>
      <c r="D316">
        <f t="shared" si="4"/>
        <v>2.0815066190502732E-2</v>
      </c>
      <c r="E316">
        <f t="shared" si="5"/>
        <v>3.4237737118683366E-2</v>
      </c>
      <c r="F316">
        <f t="shared" si="6"/>
        <v>4.8423084980295412E-2</v>
      </c>
      <c r="G316">
        <f t="shared" si="7"/>
        <v>-3.4237737118683366E-2</v>
      </c>
      <c r="H316">
        <f t="shared" si="8"/>
        <v>-4.8423084980295412E-2</v>
      </c>
    </row>
    <row r="317" spans="1:8" x14ac:dyDescent="0.2">
      <c r="A317" s="1">
        <v>44862</v>
      </c>
      <c r="B317">
        <v>153.03</v>
      </c>
      <c r="C317">
        <f t="shared" si="9"/>
        <v>7.2830005152674876E-2</v>
      </c>
      <c r="D317">
        <f t="shared" ref="D317:D380" si="10">_xlfn.STDEV.S(C68:C317)</f>
        <v>2.1316991903152463E-2</v>
      </c>
      <c r="E317">
        <f t="shared" ref="E317:E380" si="11">_xlfn.NORM.S.INV(0.95)*D317</f>
        <v>3.5063331447595478E-2</v>
      </c>
      <c r="F317">
        <f t="shared" ref="F317:F380" si="12">_xlfn.NORM.S.INV(0.99)*D317</f>
        <v>4.9590738794844547E-2</v>
      </c>
      <c r="G317">
        <f t="shared" ref="G317:G380" si="13">-E317</f>
        <v>-3.5063331447595478E-2</v>
      </c>
      <c r="H317">
        <f t="shared" ref="H317:H380" si="14">-F317</f>
        <v>-4.9590738794844547E-2</v>
      </c>
    </row>
    <row r="318" spans="1:8" x14ac:dyDescent="0.2">
      <c r="A318" s="1">
        <v>44865</v>
      </c>
      <c r="B318">
        <v>150.66999999999999</v>
      </c>
      <c r="C318">
        <f t="shared" si="9"/>
        <v>-1.5541965789747902E-2</v>
      </c>
      <c r="D318">
        <f t="shared" si="10"/>
        <v>2.133562502920066E-2</v>
      </c>
      <c r="E318">
        <f t="shared" si="11"/>
        <v>3.5093980212557302E-2</v>
      </c>
      <c r="F318">
        <f t="shared" si="12"/>
        <v>4.9634085928013508E-2</v>
      </c>
      <c r="G318">
        <f t="shared" si="13"/>
        <v>-3.5093980212557302E-2</v>
      </c>
      <c r="H318">
        <f t="shared" si="14"/>
        <v>-4.9634085928013508E-2</v>
      </c>
    </row>
    <row r="319" spans="1:8" x14ac:dyDescent="0.2">
      <c r="A319" s="1">
        <v>44866</v>
      </c>
      <c r="B319">
        <v>148.02799999999999</v>
      </c>
      <c r="C319">
        <f t="shared" si="9"/>
        <v>-1.7690569753910611E-2</v>
      </c>
      <c r="D319">
        <f t="shared" si="10"/>
        <v>2.1356322185769119E-2</v>
      </c>
      <c r="E319">
        <f t="shared" si="11"/>
        <v>3.5128024005606516E-2</v>
      </c>
      <c r="F319">
        <f t="shared" si="12"/>
        <v>4.9682234714195229E-2</v>
      </c>
      <c r="G319">
        <f t="shared" si="13"/>
        <v>-3.5128024005606516E-2</v>
      </c>
      <c r="H319">
        <f t="shared" si="14"/>
        <v>-4.9682234714195229E-2</v>
      </c>
    </row>
    <row r="320" spans="1:8" x14ac:dyDescent="0.2">
      <c r="A320" s="1">
        <v>44867</v>
      </c>
      <c r="B320">
        <v>142.505</v>
      </c>
      <c r="C320">
        <f t="shared" si="9"/>
        <v>-3.8024358246842645E-2</v>
      </c>
      <c r="D320">
        <f t="shared" si="10"/>
        <v>2.1490223605168252E-2</v>
      </c>
      <c r="E320">
        <f t="shared" si="11"/>
        <v>3.5348272240959128E-2</v>
      </c>
      <c r="F320">
        <f t="shared" si="12"/>
        <v>4.9993735996545455E-2</v>
      </c>
      <c r="G320">
        <f t="shared" si="13"/>
        <v>-3.5348272240959128E-2</v>
      </c>
      <c r="H320">
        <f t="shared" si="14"/>
        <v>-4.9993735996545455E-2</v>
      </c>
    </row>
    <row r="321" spans="1:8" x14ac:dyDescent="0.2">
      <c r="A321" s="1">
        <v>44868</v>
      </c>
      <c r="B321">
        <v>136.46199999999999</v>
      </c>
      <c r="C321">
        <f t="shared" si="9"/>
        <v>-4.3330899223027734E-2</v>
      </c>
      <c r="D321">
        <f t="shared" si="10"/>
        <v>2.1661733490654662E-2</v>
      </c>
      <c r="E321">
        <f t="shared" si="11"/>
        <v>3.5630380898159481E-2</v>
      </c>
      <c r="F321">
        <f t="shared" si="12"/>
        <v>5.039272765402375E-2</v>
      </c>
      <c r="G321">
        <f t="shared" si="13"/>
        <v>-3.5630380898159481E-2</v>
      </c>
      <c r="H321">
        <f t="shared" si="14"/>
        <v>-5.039272765402375E-2</v>
      </c>
    </row>
    <row r="322" spans="1:8" x14ac:dyDescent="0.2">
      <c r="A322" s="1">
        <v>44869</v>
      </c>
      <c r="B322">
        <v>136.197</v>
      </c>
      <c r="C322">
        <f t="shared" si="9"/>
        <v>-1.9438205483075885E-3</v>
      </c>
      <c r="D322">
        <f t="shared" si="10"/>
        <v>2.1659397014312614E-2</v>
      </c>
      <c r="E322">
        <f t="shared" si="11"/>
        <v>3.5626537736573975E-2</v>
      </c>
      <c r="F322">
        <f t="shared" si="12"/>
        <v>5.0387292197252687E-2</v>
      </c>
      <c r="G322">
        <f t="shared" si="13"/>
        <v>-3.5626537736573975E-2</v>
      </c>
      <c r="H322">
        <f t="shared" si="14"/>
        <v>-5.0387292197252687E-2</v>
      </c>
    </row>
    <row r="323" spans="1:8" x14ac:dyDescent="0.2">
      <c r="A323" s="1">
        <v>44872</v>
      </c>
      <c r="B323">
        <v>136.727</v>
      </c>
      <c r="C323">
        <f t="shared" ref="C323:C386" si="15">LN(B323/B322)</f>
        <v>3.8838699874656733E-3</v>
      </c>
      <c r="D323">
        <f t="shared" si="10"/>
        <v>2.1660314369660972E-2</v>
      </c>
      <c r="E323">
        <f t="shared" si="11"/>
        <v>3.5628046651845928E-2</v>
      </c>
      <c r="F323">
        <f t="shared" si="12"/>
        <v>5.0389426284917077E-2</v>
      </c>
      <c r="G323">
        <f t="shared" si="13"/>
        <v>-3.5628046651845928E-2</v>
      </c>
      <c r="H323">
        <f t="shared" si="14"/>
        <v>-5.0389426284917077E-2</v>
      </c>
    </row>
    <row r="324" spans="1:8" x14ac:dyDescent="0.2">
      <c r="A324" s="1">
        <v>44873</v>
      </c>
      <c r="B324">
        <v>137.297</v>
      </c>
      <c r="C324">
        <f t="shared" si="15"/>
        <v>4.1602255430538094E-3</v>
      </c>
      <c r="D324">
        <f t="shared" si="10"/>
        <v>2.162814147995477E-2</v>
      </c>
      <c r="E324">
        <f t="shared" si="11"/>
        <v>3.557512695752317E-2</v>
      </c>
      <c r="F324">
        <f t="shared" si="12"/>
        <v>5.0314580951347304E-2</v>
      </c>
      <c r="G324">
        <f t="shared" si="13"/>
        <v>-3.557512695752317E-2</v>
      </c>
      <c r="H324">
        <f t="shared" si="14"/>
        <v>-5.0314580951347304E-2</v>
      </c>
    </row>
    <row r="325" spans="1:8" x14ac:dyDescent="0.2">
      <c r="A325" s="1">
        <v>44874</v>
      </c>
      <c r="B325">
        <v>132.74</v>
      </c>
      <c r="C325">
        <f t="shared" si="15"/>
        <v>-3.3754134853849073E-2</v>
      </c>
      <c r="D325">
        <f t="shared" si="10"/>
        <v>2.1731937276217354E-2</v>
      </c>
      <c r="E325">
        <f t="shared" si="11"/>
        <v>3.5745855849467996E-2</v>
      </c>
      <c r="F325">
        <f t="shared" si="12"/>
        <v>5.0556046081317141E-2</v>
      </c>
      <c r="G325">
        <f t="shared" si="13"/>
        <v>-3.5745855849467996E-2</v>
      </c>
      <c r="H325">
        <f t="shared" si="14"/>
        <v>-5.0556046081317141E-2</v>
      </c>
    </row>
    <row r="326" spans="1:8" x14ac:dyDescent="0.2">
      <c r="A326" s="1">
        <v>44875</v>
      </c>
      <c r="B326">
        <v>144.553</v>
      </c>
      <c r="C326">
        <f t="shared" si="15"/>
        <v>8.5253894593550983E-2</v>
      </c>
      <c r="D326">
        <f t="shared" si="10"/>
        <v>2.2377709507416799E-2</v>
      </c>
      <c r="E326">
        <f t="shared" si="11"/>
        <v>3.6808056646140952E-2</v>
      </c>
      <c r="F326">
        <f t="shared" si="12"/>
        <v>5.205833693848258E-2</v>
      </c>
      <c r="G326">
        <f t="shared" si="13"/>
        <v>-3.6808056646140952E-2</v>
      </c>
      <c r="H326">
        <f t="shared" si="14"/>
        <v>-5.205833693848258E-2</v>
      </c>
    </row>
    <row r="327" spans="1:8" x14ac:dyDescent="0.2">
      <c r="A327" s="1">
        <v>44876</v>
      </c>
      <c r="B327">
        <v>147.33699999999999</v>
      </c>
      <c r="C327">
        <f t="shared" si="15"/>
        <v>1.9076257666413115E-2</v>
      </c>
      <c r="D327">
        <f t="shared" si="10"/>
        <v>2.241041790497561E-2</v>
      </c>
      <c r="E327">
        <f t="shared" si="11"/>
        <v>3.6861857172497334E-2</v>
      </c>
      <c r="F327">
        <f t="shared" si="12"/>
        <v>5.2134428049606801E-2</v>
      </c>
      <c r="G327">
        <f t="shared" si="13"/>
        <v>-3.6861857172497334E-2</v>
      </c>
      <c r="H327">
        <f t="shared" si="14"/>
        <v>-5.2134428049606801E-2</v>
      </c>
    </row>
    <row r="328" spans="1:8" x14ac:dyDescent="0.2">
      <c r="A328" s="1">
        <v>44879</v>
      </c>
      <c r="B328">
        <v>145.94</v>
      </c>
      <c r="C328">
        <f t="shared" si="15"/>
        <v>-9.5269016402691458E-3</v>
      </c>
      <c r="D328">
        <f t="shared" si="10"/>
        <v>2.2414516012041745E-2</v>
      </c>
      <c r="E328">
        <f t="shared" si="11"/>
        <v>3.6868597958768699E-2</v>
      </c>
      <c r="F328">
        <f t="shared" si="12"/>
        <v>5.2143961672267695E-2</v>
      </c>
      <c r="G328">
        <f t="shared" si="13"/>
        <v>-3.6868597958768699E-2</v>
      </c>
      <c r="H328">
        <f t="shared" si="14"/>
        <v>-5.2143961672267695E-2</v>
      </c>
    </row>
    <row r="329" spans="1:8" x14ac:dyDescent="0.2">
      <c r="A329" s="1">
        <v>44880</v>
      </c>
      <c r="B329">
        <v>147.672</v>
      </c>
      <c r="C329">
        <f t="shared" si="15"/>
        <v>1.1798019768824908E-2</v>
      </c>
      <c r="D329">
        <f t="shared" si="10"/>
        <v>2.2403060884957714E-2</v>
      </c>
      <c r="E329">
        <f t="shared" si="11"/>
        <v>3.6849755951437337E-2</v>
      </c>
      <c r="F329">
        <f t="shared" si="12"/>
        <v>5.2117313061728891E-2</v>
      </c>
      <c r="G329">
        <f t="shared" si="13"/>
        <v>-3.6849755951437337E-2</v>
      </c>
      <c r="H329">
        <f t="shared" si="14"/>
        <v>-5.2117313061728891E-2</v>
      </c>
    </row>
    <row r="330" spans="1:8" x14ac:dyDescent="0.2">
      <c r="A330" s="1">
        <v>44881</v>
      </c>
      <c r="B330">
        <v>146.44</v>
      </c>
      <c r="C330">
        <f t="shared" si="15"/>
        <v>-8.3778098542633649E-3</v>
      </c>
      <c r="D330">
        <f t="shared" si="10"/>
        <v>2.2337309673871739E-2</v>
      </c>
      <c r="E330">
        <f t="shared" si="11"/>
        <v>3.6741604833406119E-2</v>
      </c>
      <c r="F330">
        <f t="shared" si="12"/>
        <v>5.1964352871603427E-2</v>
      </c>
      <c r="G330">
        <f t="shared" si="13"/>
        <v>-3.6741604833406119E-2</v>
      </c>
      <c r="H330">
        <f t="shared" si="14"/>
        <v>-5.1964352871603427E-2</v>
      </c>
    </row>
    <row r="331" spans="1:8" x14ac:dyDescent="0.2">
      <c r="A331" s="1">
        <v>44882</v>
      </c>
      <c r="B331">
        <v>148.34</v>
      </c>
      <c r="C331">
        <f t="shared" si="15"/>
        <v>1.2891148056376568E-2</v>
      </c>
      <c r="D331">
        <f t="shared" si="10"/>
        <v>2.2326664623218976E-2</v>
      </c>
      <c r="E331">
        <f t="shared" si="11"/>
        <v>3.672409528323084E-2</v>
      </c>
      <c r="F331">
        <f t="shared" si="12"/>
        <v>5.1939588780648312E-2</v>
      </c>
      <c r="G331">
        <f t="shared" si="13"/>
        <v>-3.672409528323084E-2</v>
      </c>
      <c r="H331">
        <f t="shared" si="14"/>
        <v>-5.1939588780648312E-2</v>
      </c>
    </row>
    <row r="332" spans="1:8" x14ac:dyDescent="0.2">
      <c r="A332" s="1">
        <v>44883</v>
      </c>
      <c r="B332">
        <v>148.90299999999999</v>
      </c>
      <c r="C332">
        <f t="shared" si="15"/>
        <v>3.7881509287559746E-3</v>
      </c>
      <c r="D332">
        <f t="shared" si="10"/>
        <v>2.2327218270344978E-2</v>
      </c>
      <c r="E332">
        <f t="shared" si="11"/>
        <v>3.6725005951714101E-2</v>
      </c>
      <c r="F332">
        <f t="shared" si="12"/>
        <v>5.1940876756462862E-2</v>
      </c>
      <c r="G332">
        <f t="shared" si="13"/>
        <v>-3.6725005951714101E-2</v>
      </c>
      <c r="H332">
        <f t="shared" si="14"/>
        <v>-5.1940876756462862E-2</v>
      </c>
    </row>
    <row r="333" spans="1:8" x14ac:dyDescent="0.2">
      <c r="A333" s="1">
        <v>44886</v>
      </c>
      <c r="B333">
        <v>145.673</v>
      </c>
      <c r="C333">
        <f t="shared" si="15"/>
        <v>-2.1930703493970118E-2</v>
      </c>
      <c r="D333">
        <f t="shared" si="10"/>
        <v>2.2368731621943236E-2</v>
      </c>
      <c r="E333">
        <f t="shared" si="11"/>
        <v>3.6793289338657401E-2</v>
      </c>
      <c r="F333">
        <f t="shared" si="12"/>
        <v>5.2037451253697777E-2</v>
      </c>
      <c r="G333">
        <f t="shared" si="13"/>
        <v>-3.6793289338657401E-2</v>
      </c>
      <c r="H333">
        <f t="shared" si="14"/>
        <v>-5.2037451253697777E-2</v>
      </c>
    </row>
    <row r="334" spans="1:8" x14ac:dyDescent="0.2">
      <c r="A334" s="1">
        <v>44887</v>
      </c>
      <c r="B334">
        <v>147.81100000000001</v>
      </c>
      <c r="C334">
        <f t="shared" si="15"/>
        <v>1.4570046900019756E-2</v>
      </c>
      <c r="D334">
        <f t="shared" si="10"/>
        <v>2.2387416028491598E-2</v>
      </c>
      <c r="E334">
        <f t="shared" si="11"/>
        <v>3.6824022452535916E-2</v>
      </c>
      <c r="F334">
        <f t="shared" si="12"/>
        <v>5.2080917683149271E-2</v>
      </c>
      <c r="G334">
        <f t="shared" si="13"/>
        <v>-3.6824022452535916E-2</v>
      </c>
      <c r="H334">
        <f t="shared" si="14"/>
        <v>-5.2080917683149271E-2</v>
      </c>
    </row>
    <row r="335" spans="1:8" x14ac:dyDescent="0.2">
      <c r="A335" s="1">
        <v>44888</v>
      </c>
      <c r="B335">
        <v>148.68799999999999</v>
      </c>
      <c r="C335">
        <f t="shared" si="15"/>
        <v>5.9157201717658266E-3</v>
      </c>
      <c r="D335">
        <f t="shared" si="10"/>
        <v>2.229891619827435E-2</v>
      </c>
      <c r="E335">
        <f t="shared" si="11"/>
        <v>3.6678453185818485E-2</v>
      </c>
      <c r="F335">
        <f t="shared" si="12"/>
        <v>5.1875036291270403E-2</v>
      </c>
      <c r="G335">
        <f t="shared" si="13"/>
        <v>-3.6678453185818485E-2</v>
      </c>
      <c r="H335">
        <f t="shared" si="14"/>
        <v>-5.1875036291270403E-2</v>
      </c>
    </row>
    <row r="336" spans="1:8" x14ac:dyDescent="0.2">
      <c r="A336" s="1">
        <v>44890</v>
      </c>
      <c r="B336">
        <v>145.773</v>
      </c>
      <c r="C336">
        <f t="shared" si="15"/>
        <v>-1.9799533574504466E-2</v>
      </c>
      <c r="D336">
        <f t="shared" si="10"/>
        <v>2.2290202598784881E-2</v>
      </c>
      <c r="E336">
        <f t="shared" si="11"/>
        <v>3.6664120590094426E-2</v>
      </c>
      <c r="F336">
        <f t="shared" si="12"/>
        <v>5.185476542762283E-2</v>
      </c>
      <c r="G336">
        <f t="shared" si="13"/>
        <v>-3.6664120590094426E-2</v>
      </c>
      <c r="H336">
        <f t="shared" si="14"/>
        <v>-5.185476542762283E-2</v>
      </c>
    </row>
    <row r="337" spans="1:8" x14ac:dyDescent="0.2">
      <c r="A337" s="1">
        <v>44893</v>
      </c>
      <c r="B337">
        <v>141.94300000000001</v>
      </c>
      <c r="C337">
        <f t="shared" si="15"/>
        <v>-2.6625048675860519E-2</v>
      </c>
      <c r="D337">
        <f t="shared" si="10"/>
        <v>2.2263009720893762E-2</v>
      </c>
      <c r="E337">
        <f t="shared" si="11"/>
        <v>3.6619392286267968E-2</v>
      </c>
      <c r="F337">
        <f t="shared" si="12"/>
        <v>5.1791505333951771E-2</v>
      </c>
      <c r="G337">
        <f t="shared" si="13"/>
        <v>-3.6619392286267968E-2</v>
      </c>
      <c r="H337">
        <f t="shared" si="14"/>
        <v>-5.1791505333951771E-2</v>
      </c>
    </row>
    <row r="338" spans="1:8" x14ac:dyDescent="0.2">
      <c r="A338" s="1">
        <v>44894</v>
      </c>
      <c r="B338">
        <v>138.941</v>
      </c>
      <c r="C338">
        <f t="shared" si="15"/>
        <v>-2.1376185974409684E-2</v>
      </c>
      <c r="D338">
        <f t="shared" si="10"/>
        <v>2.2301428002062466E-2</v>
      </c>
      <c r="E338">
        <f t="shared" si="11"/>
        <v>3.6682584735389559E-2</v>
      </c>
      <c r="F338">
        <f t="shared" si="12"/>
        <v>5.1880879620672893E-2</v>
      </c>
      <c r="G338">
        <f t="shared" si="13"/>
        <v>-3.6682584735389559E-2</v>
      </c>
      <c r="H338">
        <f t="shared" si="14"/>
        <v>-5.1880879620672893E-2</v>
      </c>
    </row>
    <row r="339" spans="1:8" x14ac:dyDescent="0.2">
      <c r="A339" s="1">
        <v>44895</v>
      </c>
      <c r="B339">
        <v>145.69300000000001</v>
      </c>
      <c r="C339">
        <f t="shared" si="15"/>
        <v>4.745228553092893E-2</v>
      </c>
      <c r="D339">
        <f t="shared" si="10"/>
        <v>2.25045386423826E-2</v>
      </c>
      <c r="E339">
        <f t="shared" si="11"/>
        <v>3.7016672008792564E-2</v>
      </c>
      <c r="F339">
        <f t="shared" si="12"/>
        <v>5.2353385626976709E-2</v>
      </c>
      <c r="G339">
        <f t="shared" si="13"/>
        <v>-3.7016672008792564E-2</v>
      </c>
      <c r="H339">
        <f t="shared" si="14"/>
        <v>-5.2353385626976709E-2</v>
      </c>
    </row>
    <row r="340" spans="1:8" x14ac:dyDescent="0.2">
      <c r="A340" s="1">
        <v>44896</v>
      </c>
      <c r="B340">
        <v>145.96899999999999</v>
      </c>
      <c r="C340">
        <f t="shared" si="15"/>
        <v>1.8926022751314228E-3</v>
      </c>
      <c r="D340">
        <f t="shared" si="10"/>
        <v>2.249325302837003E-2</v>
      </c>
      <c r="E340">
        <f t="shared" si="11"/>
        <v>3.6998108825651611E-2</v>
      </c>
      <c r="F340">
        <f t="shared" si="12"/>
        <v>5.2327131362811322E-2</v>
      </c>
      <c r="G340">
        <f t="shared" si="13"/>
        <v>-3.6998108825651611E-2</v>
      </c>
      <c r="H340">
        <f t="shared" si="14"/>
        <v>-5.2327131362811322E-2</v>
      </c>
    </row>
    <row r="341" spans="1:8" x14ac:dyDescent="0.2">
      <c r="A341" s="1">
        <v>44897</v>
      </c>
      <c r="B341">
        <v>145.47800000000001</v>
      </c>
      <c r="C341">
        <f t="shared" si="15"/>
        <v>-3.3693979661507511E-3</v>
      </c>
      <c r="D341">
        <f t="shared" si="10"/>
        <v>2.2451984140885152E-2</v>
      </c>
      <c r="E341">
        <f t="shared" si="11"/>
        <v>3.6930227546391858E-2</v>
      </c>
      <c r="F341">
        <f t="shared" si="12"/>
        <v>5.2231125574146844E-2</v>
      </c>
      <c r="G341">
        <f t="shared" si="13"/>
        <v>-3.6930227546391858E-2</v>
      </c>
      <c r="H341">
        <f t="shared" si="14"/>
        <v>-5.2231125574146844E-2</v>
      </c>
    </row>
    <row r="342" spans="1:8" x14ac:dyDescent="0.2">
      <c r="A342" s="1">
        <v>44900</v>
      </c>
      <c r="B342">
        <v>144.316</v>
      </c>
      <c r="C342">
        <f t="shared" si="15"/>
        <v>-8.0195326861581141E-3</v>
      </c>
      <c r="D342">
        <f t="shared" si="10"/>
        <v>2.2345180036200844E-2</v>
      </c>
      <c r="E342">
        <f t="shared" si="11"/>
        <v>3.6754550427428569E-2</v>
      </c>
      <c r="F342">
        <f t="shared" si="12"/>
        <v>5.198266207227567E-2</v>
      </c>
      <c r="G342">
        <f t="shared" si="13"/>
        <v>-3.6754550427428569E-2</v>
      </c>
      <c r="H342">
        <f t="shared" si="14"/>
        <v>-5.198266207227567E-2</v>
      </c>
    </row>
    <row r="343" spans="1:8" x14ac:dyDescent="0.2">
      <c r="A343" s="1">
        <v>44901</v>
      </c>
      <c r="B343">
        <v>140.655</v>
      </c>
      <c r="C343">
        <f t="shared" si="15"/>
        <v>-2.5695256204261996E-2</v>
      </c>
      <c r="D343">
        <f t="shared" si="10"/>
        <v>2.235288719265064E-2</v>
      </c>
      <c r="E343">
        <f t="shared" si="11"/>
        <v>3.6767227571668504E-2</v>
      </c>
      <c r="F343">
        <f t="shared" si="12"/>
        <v>5.2000591599297555E-2</v>
      </c>
      <c r="G343">
        <f t="shared" si="13"/>
        <v>-3.6767227571668504E-2</v>
      </c>
      <c r="H343">
        <f t="shared" si="14"/>
        <v>-5.2000591599297555E-2</v>
      </c>
    </row>
    <row r="344" spans="1:8" x14ac:dyDescent="0.2">
      <c r="A344" s="1">
        <v>44902</v>
      </c>
      <c r="B344">
        <v>138.714</v>
      </c>
      <c r="C344">
        <f t="shared" si="15"/>
        <v>-1.3895824038042678E-2</v>
      </c>
      <c r="D344">
        <f t="shared" si="10"/>
        <v>2.2367840100518638E-2</v>
      </c>
      <c r="E344">
        <f t="shared" si="11"/>
        <v>3.6791822916408652E-2</v>
      </c>
      <c r="F344">
        <f t="shared" si="12"/>
        <v>5.2035377264726998E-2</v>
      </c>
      <c r="G344">
        <f t="shared" si="13"/>
        <v>-3.6791822916408652E-2</v>
      </c>
      <c r="H344">
        <f t="shared" si="14"/>
        <v>-5.2035377264726998E-2</v>
      </c>
    </row>
    <row r="345" spans="1:8" x14ac:dyDescent="0.2">
      <c r="A345" s="1">
        <v>44903</v>
      </c>
      <c r="B345">
        <v>140.398</v>
      </c>
      <c r="C345">
        <f t="shared" si="15"/>
        <v>1.2066986974349022E-2</v>
      </c>
      <c r="D345">
        <f t="shared" si="10"/>
        <v>2.2309811463317699E-2</v>
      </c>
      <c r="E345">
        <f t="shared" si="11"/>
        <v>3.6696374302041632E-2</v>
      </c>
      <c r="F345">
        <f t="shared" si="12"/>
        <v>5.1900382467941104E-2</v>
      </c>
      <c r="G345">
        <f t="shared" si="13"/>
        <v>-3.6696374302041632E-2</v>
      </c>
      <c r="H345">
        <f t="shared" si="14"/>
        <v>-5.1900382467941104E-2</v>
      </c>
    </row>
    <row r="346" spans="1:8" x14ac:dyDescent="0.2">
      <c r="A346" s="1">
        <v>44904</v>
      </c>
      <c r="B346">
        <v>139.916</v>
      </c>
      <c r="C346">
        <f t="shared" si="15"/>
        <v>-3.439003938732671E-3</v>
      </c>
      <c r="D346">
        <f t="shared" si="10"/>
        <v>2.2274276001201517E-2</v>
      </c>
      <c r="E346">
        <f t="shared" si="11"/>
        <v>3.6637923668294436E-2</v>
      </c>
      <c r="F346">
        <f t="shared" si="12"/>
        <v>5.1817714621194069E-2</v>
      </c>
      <c r="G346">
        <f t="shared" si="13"/>
        <v>-3.6637923668294436E-2</v>
      </c>
      <c r="H346">
        <f t="shared" si="14"/>
        <v>-5.1817714621194069E-2</v>
      </c>
    </row>
    <row r="347" spans="1:8" x14ac:dyDescent="0.2">
      <c r="A347" s="1">
        <v>44907</v>
      </c>
      <c r="B347">
        <v>142.21100000000001</v>
      </c>
      <c r="C347">
        <f t="shared" si="15"/>
        <v>1.6269627676909676E-2</v>
      </c>
      <c r="D347">
        <f t="shared" si="10"/>
        <v>2.2295643254201854E-2</v>
      </c>
      <c r="E347">
        <f t="shared" si="11"/>
        <v>3.6673069671890032E-2</v>
      </c>
      <c r="F347">
        <f t="shared" si="12"/>
        <v>5.1867422284785497E-2</v>
      </c>
      <c r="G347">
        <f t="shared" si="13"/>
        <v>-3.6673069671890032E-2</v>
      </c>
      <c r="H347">
        <f t="shared" si="14"/>
        <v>-5.1867422284785497E-2</v>
      </c>
    </row>
    <row r="348" spans="1:8" x14ac:dyDescent="0.2">
      <c r="A348" s="1">
        <v>44908</v>
      </c>
      <c r="B348">
        <v>143.173</v>
      </c>
      <c r="C348">
        <f t="shared" si="15"/>
        <v>6.7418190490181953E-3</v>
      </c>
      <c r="D348">
        <f t="shared" si="10"/>
        <v>2.2225411025542919E-2</v>
      </c>
      <c r="E348">
        <f t="shared" si="11"/>
        <v>3.6557547935851496E-2</v>
      </c>
      <c r="F348">
        <f t="shared" si="12"/>
        <v>5.170403768895563E-2</v>
      </c>
      <c r="G348">
        <f t="shared" si="13"/>
        <v>-3.6557547935851496E-2</v>
      </c>
      <c r="H348">
        <f t="shared" si="14"/>
        <v>-5.170403768895563E-2</v>
      </c>
    </row>
    <row r="349" spans="1:8" x14ac:dyDescent="0.2">
      <c r="A349" s="1">
        <v>44909</v>
      </c>
      <c r="B349">
        <v>140.94900000000001</v>
      </c>
      <c r="C349">
        <f t="shared" si="15"/>
        <v>-1.5655566442683601E-2</v>
      </c>
      <c r="D349">
        <f t="shared" si="10"/>
        <v>2.2105808579216384E-2</v>
      </c>
      <c r="E349">
        <f t="shared" si="11"/>
        <v>3.6360819418219024E-2</v>
      </c>
      <c r="F349">
        <f t="shared" si="12"/>
        <v>5.1425800792213816E-2</v>
      </c>
      <c r="G349">
        <f t="shared" si="13"/>
        <v>-3.6360819418219024E-2</v>
      </c>
      <c r="H349">
        <f t="shared" si="14"/>
        <v>-5.1425800792213816E-2</v>
      </c>
    </row>
    <row r="350" spans="1:8" x14ac:dyDescent="0.2">
      <c r="A350" s="1">
        <v>44910</v>
      </c>
      <c r="B350">
        <v>134.34399999999999</v>
      </c>
      <c r="C350">
        <f t="shared" si="15"/>
        <v>-4.7994448227809634E-2</v>
      </c>
      <c r="D350">
        <f t="shared" si="10"/>
        <v>2.2304251512890432E-2</v>
      </c>
      <c r="E350">
        <f t="shared" si="11"/>
        <v>3.6687228997415673E-2</v>
      </c>
      <c r="F350">
        <f t="shared" si="12"/>
        <v>5.188744808908486E-2</v>
      </c>
      <c r="G350">
        <f t="shared" si="13"/>
        <v>-3.6687228997415673E-2</v>
      </c>
      <c r="H350">
        <f t="shared" si="14"/>
        <v>-5.188744808908486E-2</v>
      </c>
    </row>
    <row r="351" spans="1:8" x14ac:dyDescent="0.2">
      <c r="A351" s="1">
        <v>44911</v>
      </c>
      <c r="B351">
        <v>132.38800000000001</v>
      </c>
      <c r="C351">
        <f t="shared" si="15"/>
        <v>-1.4666669638435624E-2</v>
      </c>
      <c r="D351">
        <f t="shared" si="10"/>
        <v>2.2316547838922497E-2</v>
      </c>
      <c r="E351">
        <f t="shared" si="11"/>
        <v>3.6707454653887694E-2</v>
      </c>
      <c r="F351">
        <f t="shared" si="12"/>
        <v>5.1916053621008068E-2</v>
      </c>
      <c r="G351">
        <f t="shared" si="13"/>
        <v>-3.6707454653887694E-2</v>
      </c>
      <c r="H351">
        <f t="shared" si="14"/>
        <v>-5.1916053621008068E-2</v>
      </c>
    </row>
    <row r="352" spans="1:8" x14ac:dyDescent="0.2">
      <c r="A352" s="1">
        <v>44914</v>
      </c>
      <c r="B352">
        <v>130.28100000000001</v>
      </c>
      <c r="C352">
        <f t="shared" si="15"/>
        <v>-1.6043348800443589E-2</v>
      </c>
      <c r="D352">
        <f t="shared" si="10"/>
        <v>2.2301142429893332E-2</v>
      </c>
      <c r="E352">
        <f t="shared" si="11"/>
        <v>3.6682115010971399E-2</v>
      </c>
      <c r="F352">
        <f t="shared" si="12"/>
        <v>5.188021528046434E-2</v>
      </c>
      <c r="G352">
        <f t="shared" si="13"/>
        <v>-3.6682115010971399E-2</v>
      </c>
      <c r="H352">
        <f t="shared" si="14"/>
        <v>-5.188021528046434E-2</v>
      </c>
    </row>
    <row r="353" spans="1:8" x14ac:dyDescent="0.2">
      <c r="A353" s="1">
        <v>44915</v>
      </c>
      <c r="B353">
        <v>130.21199999999999</v>
      </c>
      <c r="C353">
        <f t="shared" si="15"/>
        <v>-5.297647277567024E-4</v>
      </c>
      <c r="D353">
        <f t="shared" si="10"/>
        <v>2.2277393927287774E-2</v>
      </c>
      <c r="E353">
        <f t="shared" si="11"/>
        <v>3.664305220032598E-2</v>
      </c>
      <c r="F353">
        <f t="shared" si="12"/>
        <v>5.1824968001916251E-2</v>
      </c>
      <c r="G353">
        <f t="shared" si="13"/>
        <v>-3.664305220032598E-2</v>
      </c>
      <c r="H353">
        <f t="shared" si="14"/>
        <v>-5.1824968001916251E-2</v>
      </c>
    </row>
    <row r="354" spans="1:8" x14ac:dyDescent="0.2">
      <c r="A354" s="1">
        <v>44916</v>
      </c>
      <c r="B354">
        <v>133.31399999999999</v>
      </c>
      <c r="C354">
        <f t="shared" si="15"/>
        <v>2.3543356500285134E-2</v>
      </c>
      <c r="D354">
        <f t="shared" si="10"/>
        <v>2.2329935041939485E-2</v>
      </c>
      <c r="E354">
        <f t="shared" si="11"/>
        <v>3.6729474643324919E-2</v>
      </c>
      <c r="F354">
        <f t="shared" si="12"/>
        <v>5.1947196912285991E-2</v>
      </c>
      <c r="G354">
        <f t="shared" si="13"/>
        <v>-3.6729474643324919E-2</v>
      </c>
      <c r="H354">
        <f t="shared" si="14"/>
        <v>-5.1947196912285991E-2</v>
      </c>
    </row>
    <row r="355" spans="1:8" x14ac:dyDescent="0.2">
      <c r="A355" s="1">
        <v>44917</v>
      </c>
      <c r="B355">
        <v>130.142</v>
      </c>
      <c r="C355">
        <f t="shared" si="15"/>
        <v>-2.408108591244482E-2</v>
      </c>
      <c r="D355">
        <f t="shared" si="10"/>
        <v>2.232615131602116E-2</v>
      </c>
      <c r="E355">
        <f t="shared" si="11"/>
        <v>3.672325096802477E-2</v>
      </c>
      <c r="F355">
        <f t="shared" si="12"/>
        <v>5.1938394649539942E-2</v>
      </c>
      <c r="G355">
        <f t="shared" si="13"/>
        <v>-3.672325096802477E-2</v>
      </c>
      <c r="H355">
        <f t="shared" si="14"/>
        <v>-5.1938394649539942E-2</v>
      </c>
    </row>
    <row r="356" spans="1:8" x14ac:dyDescent="0.2">
      <c r="A356" s="1">
        <v>44918</v>
      </c>
      <c r="B356">
        <v>129.779</v>
      </c>
      <c r="C356">
        <f t="shared" si="15"/>
        <v>-2.7931581980861842E-3</v>
      </c>
      <c r="D356">
        <f t="shared" si="10"/>
        <v>2.2324471233551166E-2</v>
      </c>
      <c r="E356">
        <f t="shared" si="11"/>
        <v>3.6720487478280425E-2</v>
      </c>
      <c r="F356">
        <f t="shared" si="12"/>
        <v>5.1934486193257662E-2</v>
      </c>
      <c r="G356">
        <f t="shared" si="13"/>
        <v>-3.6720487478280425E-2</v>
      </c>
      <c r="H356">
        <f t="shared" si="14"/>
        <v>-5.1934486193257662E-2</v>
      </c>
    </row>
    <row r="357" spans="1:8" x14ac:dyDescent="0.2">
      <c r="A357" s="1">
        <v>44922</v>
      </c>
      <c r="B357">
        <v>127.97799999999999</v>
      </c>
      <c r="C357">
        <f t="shared" si="15"/>
        <v>-1.3974629668408184E-2</v>
      </c>
      <c r="D357">
        <f t="shared" si="10"/>
        <v>2.2338794125751318E-2</v>
      </c>
      <c r="E357">
        <f t="shared" si="11"/>
        <v>3.6744046539464281E-2</v>
      </c>
      <c r="F357">
        <f t="shared" si="12"/>
        <v>5.1967806223077603E-2</v>
      </c>
      <c r="G357">
        <f t="shared" si="13"/>
        <v>-3.6744046539464281E-2</v>
      </c>
      <c r="H357">
        <f t="shared" si="14"/>
        <v>-5.1967806223077603E-2</v>
      </c>
    </row>
    <row r="358" spans="1:8" x14ac:dyDescent="0.2">
      <c r="A358" s="1">
        <v>44923</v>
      </c>
      <c r="B358">
        <v>124.051</v>
      </c>
      <c r="C358">
        <f t="shared" si="15"/>
        <v>-3.1165602776479704E-2</v>
      </c>
      <c r="D358">
        <f t="shared" si="10"/>
        <v>2.2416248271719168E-2</v>
      </c>
      <c r="E358">
        <f t="shared" si="11"/>
        <v>3.6871447272381931E-2</v>
      </c>
      <c r="F358">
        <f t="shared" si="12"/>
        <v>5.2147991510885554E-2</v>
      </c>
      <c r="G358">
        <f t="shared" si="13"/>
        <v>-3.6871447272381931E-2</v>
      </c>
      <c r="H358">
        <f t="shared" si="14"/>
        <v>-5.2147991510885554E-2</v>
      </c>
    </row>
    <row r="359" spans="1:8" x14ac:dyDescent="0.2">
      <c r="A359" s="1">
        <v>44924</v>
      </c>
      <c r="B359">
        <v>127.56399999999999</v>
      </c>
      <c r="C359">
        <f t="shared" si="15"/>
        <v>2.7925428071686093E-2</v>
      </c>
      <c r="D359">
        <f t="shared" si="10"/>
        <v>2.2492170493714526E-2</v>
      </c>
      <c r="E359">
        <f t="shared" si="11"/>
        <v>3.699632821459721E-2</v>
      </c>
      <c r="F359">
        <f t="shared" si="12"/>
        <v>5.2324613010616916E-2</v>
      </c>
      <c r="G359">
        <f t="shared" si="13"/>
        <v>-3.699632821459721E-2</v>
      </c>
      <c r="H359">
        <f t="shared" si="14"/>
        <v>-5.2324613010616916E-2</v>
      </c>
    </row>
    <row r="360" spans="1:8" x14ac:dyDescent="0.2">
      <c r="A360" s="1">
        <v>44925</v>
      </c>
      <c r="B360">
        <v>127.88</v>
      </c>
      <c r="C360">
        <f t="shared" si="15"/>
        <v>2.4741247490177899E-3</v>
      </c>
      <c r="D360">
        <f t="shared" si="10"/>
        <v>2.2433069311696134E-2</v>
      </c>
      <c r="E360">
        <f t="shared" si="11"/>
        <v>3.6899115420997136E-2</v>
      </c>
      <c r="F360">
        <f t="shared" si="12"/>
        <v>5.2187123101475129E-2</v>
      </c>
      <c r="G360">
        <f t="shared" si="13"/>
        <v>-3.6899115420997136E-2</v>
      </c>
      <c r="H360">
        <f t="shared" si="14"/>
        <v>-5.2187123101475129E-2</v>
      </c>
    </row>
    <row r="361" spans="1:8" x14ac:dyDescent="0.2">
      <c r="A361" s="1">
        <v>44929</v>
      </c>
      <c r="B361">
        <v>123.09699999999999</v>
      </c>
      <c r="C361">
        <f t="shared" si="15"/>
        <v>-3.8119661728740914E-2</v>
      </c>
      <c r="D361">
        <f t="shared" si="10"/>
        <v>2.2542091297405517E-2</v>
      </c>
      <c r="E361">
        <f t="shared" si="11"/>
        <v>3.7078440629608668E-2</v>
      </c>
      <c r="F361">
        <f t="shared" si="12"/>
        <v>5.2440746166153865E-2</v>
      </c>
      <c r="G361">
        <f t="shared" si="13"/>
        <v>-3.7078440629608668E-2</v>
      </c>
      <c r="H361">
        <f t="shared" si="14"/>
        <v>-5.2440746166153865E-2</v>
      </c>
    </row>
    <row r="362" spans="1:8" x14ac:dyDescent="0.2">
      <c r="A362" s="1">
        <v>44930</v>
      </c>
      <c r="B362">
        <v>124.36499999999999</v>
      </c>
      <c r="C362">
        <f t="shared" si="15"/>
        <v>1.0248127773391963E-2</v>
      </c>
      <c r="D362">
        <f t="shared" si="10"/>
        <v>2.2495547819288864E-2</v>
      </c>
      <c r="E362">
        <f t="shared" si="11"/>
        <v>3.7001883420817554E-2</v>
      </c>
      <c r="F362">
        <f t="shared" si="12"/>
        <v>5.2332469844786719E-2</v>
      </c>
      <c r="G362">
        <f t="shared" si="13"/>
        <v>-3.7001883420817554E-2</v>
      </c>
      <c r="H362">
        <f t="shared" si="14"/>
        <v>-5.2332469844786719E-2</v>
      </c>
    </row>
    <row r="363" spans="1:8" x14ac:dyDescent="0.2">
      <c r="A363" s="1">
        <v>44931</v>
      </c>
      <c r="B363">
        <v>123.048</v>
      </c>
      <c r="C363">
        <f t="shared" si="15"/>
        <v>-1.0646267086782547E-2</v>
      </c>
      <c r="D363">
        <f t="shared" si="10"/>
        <v>2.2481784244561272E-2</v>
      </c>
      <c r="E363">
        <f t="shared" si="11"/>
        <v>3.6979244355007053E-2</v>
      </c>
      <c r="F363">
        <f t="shared" si="12"/>
        <v>5.2300450981979982E-2</v>
      </c>
      <c r="G363">
        <f t="shared" si="13"/>
        <v>-3.6979244355007053E-2</v>
      </c>
      <c r="H363">
        <f t="shared" si="14"/>
        <v>-5.2300450981979982E-2</v>
      </c>
    </row>
    <row r="364" spans="1:8" x14ac:dyDescent="0.2">
      <c r="A364" s="1">
        <v>44932</v>
      </c>
      <c r="B364">
        <v>127.574</v>
      </c>
      <c r="C364">
        <f t="shared" si="15"/>
        <v>3.6122065243447618E-2</v>
      </c>
      <c r="D364">
        <f t="shared" si="10"/>
        <v>2.2605321587248886E-2</v>
      </c>
      <c r="E364">
        <f t="shared" si="11"/>
        <v>3.7182445201190725E-2</v>
      </c>
      <c r="F364">
        <f t="shared" si="12"/>
        <v>5.258784181650597E-2</v>
      </c>
      <c r="G364">
        <f t="shared" si="13"/>
        <v>-3.7182445201190725E-2</v>
      </c>
      <c r="H364">
        <f t="shared" si="14"/>
        <v>-5.258784181650597E-2</v>
      </c>
    </row>
    <row r="365" spans="1:8" x14ac:dyDescent="0.2">
      <c r="A365" s="1">
        <v>44935</v>
      </c>
      <c r="B365">
        <v>128.096</v>
      </c>
      <c r="C365">
        <f t="shared" si="15"/>
        <v>4.0833944172063577E-3</v>
      </c>
      <c r="D365">
        <f t="shared" si="10"/>
        <v>2.260757934572941E-2</v>
      </c>
      <c r="E365">
        <f t="shared" si="11"/>
        <v>3.7186158883416198E-2</v>
      </c>
      <c r="F365">
        <f t="shared" si="12"/>
        <v>5.2593094148147231E-2</v>
      </c>
      <c r="G365">
        <f t="shared" si="13"/>
        <v>-3.7186158883416198E-2</v>
      </c>
      <c r="H365">
        <f t="shared" si="14"/>
        <v>-5.2593094148147231E-2</v>
      </c>
    </row>
    <row r="366" spans="1:8" x14ac:dyDescent="0.2">
      <c r="A366" s="1">
        <v>44936</v>
      </c>
      <c r="B366">
        <v>128.66800000000001</v>
      </c>
      <c r="C366">
        <f t="shared" si="15"/>
        <v>4.4554606271663523E-3</v>
      </c>
      <c r="D366">
        <f t="shared" si="10"/>
        <v>2.2582350014476588E-2</v>
      </c>
      <c r="E366">
        <f t="shared" si="11"/>
        <v>3.7144660326399431E-2</v>
      </c>
      <c r="F366">
        <f t="shared" si="12"/>
        <v>5.2534401947023759E-2</v>
      </c>
      <c r="G366">
        <f t="shared" si="13"/>
        <v>-3.7144660326399431E-2</v>
      </c>
      <c r="H366">
        <f t="shared" si="14"/>
        <v>-5.2534401947023759E-2</v>
      </c>
    </row>
    <row r="367" spans="1:8" x14ac:dyDescent="0.2">
      <c r="A367" s="1">
        <v>44937</v>
      </c>
      <c r="B367">
        <v>131.38399999999999</v>
      </c>
      <c r="C367">
        <f t="shared" si="15"/>
        <v>2.0888889597930383E-2</v>
      </c>
      <c r="D367">
        <f t="shared" si="10"/>
        <v>2.2624138986887456E-2</v>
      </c>
      <c r="E367">
        <f t="shared" si="11"/>
        <v>3.7213397069236022E-2</v>
      </c>
      <c r="F367">
        <f t="shared" si="12"/>
        <v>5.2631617634150134E-2</v>
      </c>
      <c r="G367">
        <f t="shared" si="13"/>
        <v>-3.7213397069236022E-2</v>
      </c>
      <c r="H367">
        <f t="shared" si="14"/>
        <v>-5.2631617634150134E-2</v>
      </c>
    </row>
    <row r="368" spans="1:8" x14ac:dyDescent="0.2">
      <c r="A368" s="1">
        <v>44938</v>
      </c>
      <c r="B368">
        <v>131.30600000000001</v>
      </c>
      <c r="C368">
        <f t="shared" si="15"/>
        <v>-5.9385589319956803E-4</v>
      </c>
      <c r="D368">
        <f t="shared" si="10"/>
        <v>2.2594876132556851E-2</v>
      </c>
      <c r="E368">
        <f t="shared" si="11"/>
        <v>3.7165263957155373E-2</v>
      </c>
      <c r="F368">
        <f t="shared" si="12"/>
        <v>5.2563542055189767E-2</v>
      </c>
      <c r="G368">
        <f t="shared" si="13"/>
        <v>-3.7165263957155373E-2</v>
      </c>
      <c r="H368">
        <f t="shared" si="14"/>
        <v>-5.2563542055189767E-2</v>
      </c>
    </row>
    <row r="369" spans="1:8" x14ac:dyDescent="0.2">
      <c r="A369" s="1">
        <v>44939</v>
      </c>
      <c r="B369">
        <v>132.63300000000001</v>
      </c>
      <c r="C369">
        <f t="shared" si="15"/>
        <v>1.005543842528513E-2</v>
      </c>
      <c r="D369">
        <f t="shared" si="10"/>
        <v>2.260239059595481E-2</v>
      </c>
      <c r="E369">
        <f t="shared" si="11"/>
        <v>3.7177624149530103E-2</v>
      </c>
      <c r="F369">
        <f t="shared" si="12"/>
        <v>5.2581023311140167E-2</v>
      </c>
      <c r="G369">
        <f t="shared" si="13"/>
        <v>-3.7177624149530103E-2</v>
      </c>
      <c r="H369">
        <f t="shared" si="14"/>
        <v>-5.2581023311140167E-2</v>
      </c>
    </row>
    <row r="370" spans="1:8" x14ac:dyDescent="0.2">
      <c r="A370" s="1">
        <v>44943</v>
      </c>
      <c r="B370">
        <v>133.79499999999999</v>
      </c>
      <c r="C370">
        <f t="shared" si="15"/>
        <v>8.722862220763546E-3</v>
      </c>
      <c r="D370">
        <f t="shared" si="10"/>
        <v>2.2581135561461022E-2</v>
      </c>
      <c r="E370">
        <f t="shared" si="11"/>
        <v>3.7142662728952017E-2</v>
      </c>
      <c r="F370">
        <f t="shared" si="12"/>
        <v>5.2531576706832873E-2</v>
      </c>
      <c r="G370">
        <f t="shared" si="13"/>
        <v>-3.7142662728952017E-2</v>
      </c>
      <c r="H370">
        <f t="shared" si="14"/>
        <v>-5.2531576706832873E-2</v>
      </c>
    </row>
    <row r="371" spans="1:8" x14ac:dyDescent="0.2">
      <c r="A371" s="1">
        <v>44944</v>
      </c>
      <c r="B371">
        <v>133.077</v>
      </c>
      <c r="C371">
        <f t="shared" si="15"/>
        <v>-5.3808697233060894E-3</v>
      </c>
      <c r="D371">
        <f t="shared" si="10"/>
        <v>2.254609453619796E-2</v>
      </c>
      <c r="E371">
        <f t="shared" si="11"/>
        <v>3.7085025371455971E-2</v>
      </c>
      <c r="F371">
        <f t="shared" si="12"/>
        <v>5.2450059092207943E-2</v>
      </c>
      <c r="G371">
        <f t="shared" si="13"/>
        <v>-3.7085025371455971E-2</v>
      </c>
      <c r="H371">
        <f t="shared" si="14"/>
        <v>-5.2450059092207943E-2</v>
      </c>
    </row>
    <row r="372" spans="1:8" x14ac:dyDescent="0.2">
      <c r="A372" s="1">
        <v>44945</v>
      </c>
      <c r="B372">
        <v>133.136</v>
      </c>
      <c r="C372">
        <f t="shared" si="15"/>
        <v>4.4325409327114474E-4</v>
      </c>
      <c r="D372">
        <f t="shared" si="10"/>
        <v>2.2537933016222682E-2</v>
      </c>
      <c r="E372">
        <f t="shared" si="11"/>
        <v>3.7071600865723198E-2</v>
      </c>
      <c r="F372">
        <f t="shared" si="12"/>
        <v>5.2431072557564511E-2</v>
      </c>
      <c r="G372">
        <f t="shared" si="13"/>
        <v>-3.7071600865723198E-2</v>
      </c>
      <c r="H372">
        <f t="shared" si="14"/>
        <v>-5.2431072557564511E-2</v>
      </c>
    </row>
    <row r="373" spans="1:8" x14ac:dyDescent="0.2">
      <c r="A373" s="1">
        <v>44946</v>
      </c>
      <c r="B373">
        <v>135.69499999999999</v>
      </c>
      <c r="C373">
        <f t="shared" si="15"/>
        <v>1.9038558020131661E-2</v>
      </c>
      <c r="D373">
        <f t="shared" si="10"/>
        <v>2.2559381668256329E-2</v>
      </c>
      <c r="E373">
        <f t="shared" si="11"/>
        <v>3.7106880758813958E-2</v>
      </c>
      <c r="F373">
        <f t="shared" si="12"/>
        <v>5.2480969583624026E-2</v>
      </c>
      <c r="G373">
        <f t="shared" si="13"/>
        <v>-3.7106880758813958E-2</v>
      </c>
      <c r="H373">
        <f t="shared" si="14"/>
        <v>-5.2480969583624026E-2</v>
      </c>
    </row>
    <row r="374" spans="1:8" x14ac:dyDescent="0.2">
      <c r="A374" s="1">
        <v>44949</v>
      </c>
      <c r="B374">
        <v>138.881</v>
      </c>
      <c r="C374">
        <f t="shared" si="15"/>
        <v>2.3207731168740618E-2</v>
      </c>
      <c r="D374">
        <f t="shared" si="10"/>
        <v>2.2608017869120995E-2</v>
      </c>
      <c r="E374">
        <f t="shared" si="11"/>
        <v>3.7186880190207348E-2</v>
      </c>
      <c r="F374">
        <f t="shared" si="12"/>
        <v>5.2594114306106964E-2</v>
      </c>
      <c r="G374">
        <f t="shared" si="13"/>
        <v>-3.7186880190207348E-2</v>
      </c>
      <c r="H374">
        <f t="shared" si="14"/>
        <v>-5.2594114306106964E-2</v>
      </c>
    </row>
    <row r="375" spans="1:8" x14ac:dyDescent="0.2">
      <c r="A375" s="1">
        <v>44950</v>
      </c>
      <c r="B375">
        <v>140.279</v>
      </c>
      <c r="C375">
        <f t="shared" si="15"/>
        <v>1.0015845299679521E-2</v>
      </c>
      <c r="D375">
        <f t="shared" si="10"/>
        <v>2.2607292644298362E-2</v>
      </c>
      <c r="E375">
        <f t="shared" si="11"/>
        <v>3.7185687301527486E-2</v>
      </c>
      <c r="F375">
        <f t="shared" si="12"/>
        <v>5.2592427180882632E-2</v>
      </c>
      <c r="G375">
        <f t="shared" si="13"/>
        <v>-3.7185687301527486E-2</v>
      </c>
      <c r="H375">
        <f t="shared" si="14"/>
        <v>-5.2592427180882632E-2</v>
      </c>
    </row>
    <row r="376" spans="1:8" x14ac:dyDescent="0.2">
      <c r="A376" s="1">
        <v>44951</v>
      </c>
      <c r="B376">
        <v>139.62</v>
      </c>
      <c r="C376">
        <f t="shared" si="15"/>
        <v>-4.708850104370341E-3</v>
      </c>
      <c r="D376">
        <f t="shared" si="10"/>
        <v>2.2608908146610741E-2</v>
      </c>
      <c r="E376">
        <f t="shared" si="11"/>
        <v>3.7188344566365349E-2</v>
      </c>
      <c r="F376">
        <f t="shared" si="12"/>
        <v>5.2596185401252542E-2</v>
      </c>
      <c r="G376">
        <f t="shared" si="13"/>
        <v>-3.7188344566365349E-2</v>
      </c>
      <c r="H376">
        <f t="shared" si="14"/>
        <v>-5.2596185401252542E-2</v>
      </c>
    </row>
    <row r="377" spans="1:8" x14ac:dyDescent="0.2">
      <c r="A377" s="1">
        <v>44952</v>
      </c>
      <c r="B377">
        <v>141.68799999999999</v>
      </c>
      <c r="C377">
        <f t="shared" si="15"/>
        <v>1.4703010612075608E-2</v>
      </c>
      <c r="D377">
        <f t="shared" si="10"/>
        <v>2.2628629958517391E-2</v>
      </c>
      <c r="E377">
        <f t="shared" si="11"/>
        <v>3.7220784060210059E-2</v>
      </c>
      <c r="F377">
        <f t="shared" si="12"/>
        <v>5.2642065196453813E-2</v>
      </c>
      <c r="G377">
        <f t="shared" si="13"/>
        <v>-3.7220784060210059E-2</v>
      </c>
      <c r="H377">
        <f t="shared" si="14"/>
        <v>-5.2642065196453813E-2</v>
      </c>
    </row>
    <row r="378" spans="1:8" x14ac:dyDescent="0.2">
      <c r="A378" s="1">
        <v>44953</v>
      </c>
      <c r="B378">
        <v>143.62899999999999</v>
      </c>
      <c r="C378">
        <f t="shared" si="15"/>
        <v>1.3606128931388892E-2</v>
      </c>
      <c r="D378">
        <f t="shared" si="10"/>
        <v>2.2234099750696224E-2</v>
      </c>
      <c r="E378">
        <f t="shared" si="11"/>
        <v>3.6571839616933492E-2</v>
      </c>
      <c r="F378">
        <f t="shared" si="12"/>
        <v>5.1724250686244151E-2</v>
      </c>
      <c r="G378">
        <f t="shared" si="13"/>
        <v>-3.6571839616933492E-2</v>
      </c>
      <c r="H378">
        <f t="shared" si="14"/>
        <v>-5.1724250686244151E-2</v>
      </c>
    </row>
    <row r="379" spans="1:8" x14ac:dyDescent="0.2">
      <c r="A379" s="1">
        <v>44956</v>
      </c>
      <c r="B379">
        <v>140.744</v>
      </c>
      <c r="C379">
        <f t="shared" si="15"/>
        <v>-2.0290948748974896E-2</v>
      </c>
      <c r="D379">
        <f t="shared" si="10"/>
        <v>2.2205371434220345E-2</v>
      </c>
      <c r="E379">
        <f t="shared" si="11"/>
        <v>3.6524585741381933E-2</v>
      </c>
      <c r="F379">
        <f t="shared" si="12"/>
        <v>5.1657418628285712E-2</v>
      </c>
      <c r="G379">
        <f t="shared" si="13"/>
        <v>-3.6524585741381933E-2</v>
      </c>
      <c r="H379">
        <f t="shared" si="14"/>
        <v>-5.1657418628285712E-2</v>
      </c>
    </row>
    <row r="380" spans="1:8" x14ac:dyDescent="0.2">
      <c r="A380" s="1">
        <v>44957</v>
      </c>
      <c r="B380">
        <v>142.01300000000001</v>
      </c>
      <c r="C380">
        <f t="shared" si="15"/>
        <v>8.9759653699093833E-3</v>
      </c>
      <c r="D380">
        <f t="shared" si="10"/>
        <v>2.2213936596575067E-2</v>
      </c>
      <c r="E380">
        <f t="shared" si="11"/>
        <v>3.6538674179746523E-2</v>
      </c>
      <c r="F380">
        <f t="shared" si="12"/>
        <v>5.1677344175520439E-2</v>
      </c>
      <c r="G380">
        <f t="shared" si="13"/>
        <v>-3.6538674179746523E-2</v>
      </c>
      <c r="H380">
        <f t="shared" si="14"/>
        <v>-5.1677344175520439E-2</v>
      </c>
    </row>
    <row r="381" spans="1:8" x14ac:dyDescent="0.2">
      <c r="A381" s="1">
        <v>44958</v>
      </c>
      <c r="B381">
        <v>143.13300000000001</v>
      </c>
      <c r="C381">
        <f t="shared" si="15"/>
        <v>7.8556652362781112E-3</v>
      </c>
      <c r="D381">
        <f t="shared" ref="D381:D444" si="16">_xlfn.STDEV.S(C132:C381)</f>
        <v>2.221513632427758E-2</v>
      </c>
      <c r="E381">
        <f t="shared" ref="E381:E444" si="17">_xlfn.NORM.S.INV(0.95)*D381</f>
        <v>3.6540647556209359E-2</v>
      </c>
      <c r="F381">
        <f t="shared" ref="F381:F444" si="18">_xlfn.NORM.S.INV(0.99)*D381</f>
        <v>5.1680135159510608E-2</v>
      </c>
      <c r="G381">
        <f t="shared" ref="G381:G444" si="19">-E381</f>
        <v>-3.6540647556209359E-2</v>
      </c>
      <c r="H381">
        <f t="shared" ref="H381:H444" si="20">-F381</f>
        <v>-5.1680135159510608E-2</v>
      </c>
    </row>
    <row r="382" spans="1:8" x14ac:dyDescent="0.2">
      <c r="A382" s="1">
        <v>44959</v>
      </c>
      <c r="B382">
        <v>148.43899999999999</v>
      </c>
      <c r="C382">
        <f t="shared" si="15"/>
        <v>3.6399831498127935E-2</v>
      </c>
      <c r="D382">
        <f t="shared" si="16"/>
        <v>2.2315092759140648E-2</v>
      </c>
      <c r="E382">
        <f t="shared" si="17"/>
        <v>3.6705061260631014E-2</v>
      </c>
      <c r="F382">
        <f t="shared" si="18"/>
        <v>5.1912668599251005E-2</v>
      </c>
      <c r="G382">
        <f t="shared" si="19"/>
        <v>-3.6705061260631014E-2</v>
      </c>
      <c r="H382">
        <f t="shared" si="20"/>
        <v>-5.1912668599251005E-2</v>
      </c>
    </row>
    <row r="383" spans="1:8" x14ac:dyDescent="0.2">
      <c r="A383" s="1">
        <v>44960</v>
      </c>
      <c r="B383">
        <v>152.06100000000001</v>
      </c>
      <c r="C383">
        <f t="shared" si="15"/>
        <v>2.4107656689046367E-2</v>
      </c>
      <c r="D383">
        <f t="shared" si="16"/>
        <v>2.236925542382226E-2</v>
      </c>
      <c r="E383">
        <f t="shared" si="17"/>
        <v>3.679415091607792E-2</v>
      </c>
      <c r="F383">
        <f t="shared" si="18"/>
        <v>5.203866979908546E-2</v>
      </c>
      <c r="G383">
        <f t="shared" si="19"/>
        <v>-3.679415091607792E-2</v>
      </c>
      <c r="H383">
        <f t="shared" si="20"/>
        <v>-5.203866979908546E-2</v>
      </c>
    </row>
    <row r="384" spans="1:8" x14ac:dyDescent="0.2">
      <c r="A384" s="1">
        <v>44963</v>
      </c>
      <c r="B384">
        <v>149.33600000000001</v>
      </c>
      <c r="C384">
        <f t="shared" si="15"/>
        <v>-1.8082955399810974E-2</v>
      </c>
      <c r="D384">
        <f t="shared" si="16"/>
        <v>2.2395864502659572E-2</v>
      </c>
      <c r="E384">
        <f t="shared" si="17"/>
        <v>3.6837918955913311E-2</v>
      </c>
      <c r="F384">
        <f t="shared" si="18"/>
        <v>5.2100571773068823E-2</v>
      </c>
      <c r="G384">
        <f t="shared" si="19"/>
        <v>-3.6837918955913311E-2</v>
      </c>
      <c r="H384">
        <f t="shared" si="20"/>
        <v>-5.2100571773068823E-2</v>
      </c>
    </row>
    <row r="385" spans="1:8" x14ac:dyDescent="0.2">
      <c r="A385" s="1">
        <v>44964</v>
      </c>
      <c r="B385">
        <v>152.21</v>
      </c>
      <c r="C385">
        <f t="shared" si="15"/>
        <v>1.9062345561279729E-2</v>
      </c>
      <c r="D385">
        <f t="shared" si="16"/>
        <v>2.2398566046661315E-2</v>
      </c>
      <c r="E385">
        <f t="shared" si="17"/>
        <v>3.684236260036295E-2</v>
      </c>
      <c r="F385">
        <f t="shared" si="18"/>
        <v>5.2106856504213914E-2</v>
      </c>
      <c r="G385">
        <f t="shared" si="19"/>
        <v>-3.684236260036295E-2</v>
      </c>
      <c r="H385">
        <f t="shared" si="20"/>
        <v>-5.2106856504213914E-2</v>
      </c>
    </row>
    <row r="386" spans="1:8" x14ac:dyDescent="0.2">
      <c r="A386" s="1">
        <v>44965</v>
      </c>
      <c r="B386">
        <v>149.52199999999999</v>
      </c>
      <c r="C386">
        <f t="shared" si="15"/>
        <v>-1.7817607096756304E-2</v>
      </c>
      <c r="D386">
        <f t="shared" si="16"/>
        <v>2.2418437056515292E-2</v>
      </c>
      <c r="E386">
        <f t="shared" si="17"/>
        <v>3.6875047502992447E-2</v>
      </c>
      <c r="F386">
        <f t="shared" si="18"/>
        <v>5.2153083385742753E-2</v>
      </c>
      <c r="G386">
        <f t="shared" si="19"/>
        <v>-3.6875047502992447E-2</v>
      </c>
      <c r="H386">
        <f t="shared" si="20"/>
        <v>-5.2153083385742753E-2</v>
      </c>
    </row>
    <row r="387" spans="1:8" x14ac:dyDescent="0.2">
      <c r="A387" s="1">
        <v>44966</v>
      </c>
      <c r="B387">
        <v>148.489</v>
      </c>
      <c r="C387">
        <f t="shared" ref="C387:C450" si="21">LN(B387/B386)</f>
        <v>-6.9326577697587342E-3</v>
      </c>
      <c r="D387">
        <f t="shared" si="16"/>
        <v>2.2373380510690981E-2</v>
      </c>
      <c r="E387">
        <f t="shared" si="17"/>
        <v>3.6800936080175428E-2</v>
      </c>
      <c r="F387">
        <f t="shared" si="18"/>
        <v>5.2048266186152742E-2</v>
      </c>
      <c r="G387">
        <f t="shared" si="19"/>
        <v>-3.6800936080175428E-2</v>
      </c>
      <c r="H387">
        <f t="shared" si="20"/>
        <v>-5.2048266186152742E-2</v>
      </c>
    </row>
    <row r="388" spans="1:8" x14ac:dyDescent="0.2">
      <c r="A388" s="1">
        <v>44967</v>
      </c>
      <c r="B388">
        <v>148.85499999999999</v>
      </c>
      <c r="C388">
        <f t="shared" si="21"/>
        <v>2.4617963358496272E-3</v>
      </c>
      <c r="D388">
        <f t="shared" si="16"/>
        <v>2.2338197228110254E-2</v>
      </c>
      <c r="E388">
        <f t="shared" si="17"/>
        <v>3.6743064730214457E-2</v>
      </c>
      <c r="F388">
        <f t="shared" si="18"/>
        <v>5.1966417631519289E-2</v>
      </c>
      <c r="G388">
        <f t="shared" si="19"/>
        <v>-3.6743064730214457E-2</v>
      </c>
      <c r="H388">
        <f t="shared" si="20"/>
        <v>-5.1966417631519289E-2</v>
      </c>
    </row>
    <row r="389" spans="1:8" x14ac:dyDescent="0.2">
      <c r="A389" s="1">
        <v>44970</v>
      </c>
      <c r="B389">
        <v>151.654</v>
      </c>
      <c r="C389">
        <f t="shared" si="21"/>
        <v>1.8628932550718354E-2</v>
      </c>
      <c r="D389">
        <f t="shared" si="16"/>
        <v>2.2370371314983196E-2</v>
      </c>
      <c r="E389">
        <f t="shared" si="17"/>
        <v>3.6795986393701269E-2</v>
      </c>
      <c r="F389">
        <f t="shared" si="18"/>
        <v>5.2041265750115362E-2</v>
      </c>
      <c r="G389">
        <f t="shared" si="19"/>
        <v>-3.6795986393701269E-2</v>
      </c>
      <c r="H389">
        <f t="shared" si="20"/>
        <v>-5.2041265750115362E-2</v>
      </c>
    </row>
    <row r="390" spans="1:8" x14ac:dyDescent="0.2">
      <c r="A390" s="1">
        <v>44971</v>
      </c>
      <c r="B390">
        <v>151.012</v>
      </c>
      <c r="C390">
        <f t="shared" si="21"/>
        <v>-4.2423064556176863E-3</v>
      </c>
      <c r="D390">
        <f t="shared" si="16"/>
        <v>2.2322722372260181E-2</v>
      </c>
      <c r="E390">
        <f t="shared" si="17"/>
        <v>3.6717610857442913E-2</v>
      </c>
      <c r="F390">
        <f t="shared" si="18"/>
        <v>5.1930417733511383E-2</v>
      </c>
      <c r="G390">
        <f t="shared" si="19"/>
        <v>-3.6717610857442913E-2</v>
      </c>
      <c r="H390">
        <f t="shared" si="20"/>
        <v>-5.1930417733511383E-2</v>
      </c>
    </row>
    <row r="391" spans="1:8" x14ac:dyDescent="0.2">
      <c r="A391" s="1">
        <v>44972</v>
      </c>
      <c r="B391">
        <v>153.113</v>
      </c>
      <c r="C391">
        <f t="shared" si="21"/>
        <v>1.381690702516071E-2</v>
      </c>
      <c r="D391">
        <f t="shared" si="16"/>
        <v>2.2340879092211306E-2</v>
      </c>
      <c r="E391">
        <f t="shared" si="17"/>
        <v>3.6747476004108062E-2</v>
      </c>
      <c r="F391">
        <f t="shared" si="18"/>
        <v>5.1972656580369238E-2</v>
      </c>
      <c r="G391">
        <f t="shared" si="19"/>
        <v>-3.6747476004108062E-2</v>
      </c>
      <c r="H391">
        <f t="shared" si="20"/>
        <v>-5.1972656580369238E-2</v>
      </c>
    </row>
    <row r="392" spans="1:8" x14ac:dyDescent="0.2">
      <c r="A392" s="1">
        <v>44973</v>
      </c>
      <c r="B392">
        <v>151.51499999999999</v>
      </c>
      <c r="C392">
        <f t="shared" si="21"/>
        <v>-1.0491580931914594E-2</v>
      </c>
      <c r="D392">
        <f t="shared" si="16"/>
        <v>2.2309808586771198E-2</v>
      </c>
      <c r="E392">
        <f t="shared" si="17"/>
        <v>3.6696369570543688E-2</v>
      </c>
      <c r="F392">
        <f t="shared" si="18"/>
        <v>5.1900375776093272E-2</v>
      </c>
      <c r="G392">
        <f t="shared" si="19"/>
        <v>-3.6696369570543688E-2</v>
      </c>
      <c r="H392">
        <f t="shared" si="20"/>
        <v>-5.1900375776093272E-2</v>
      </c>
    </row>
    <row r="393" spans="1:8" x14ac:dyDescent="0.2">
      <c r="A393" s="1">
        <v>44974</v>
      </c>
      <c r="B393">
        <v>150.37100000000001</v>
      </c>
      <c r="C393">
        <f t="shared" si="21"/>
        <v>-7.5790561744557925E-3</v>
      </c>
      <c r="D393">
        <f t="shared" si="16"/>
        <v>2.2307130577780734E-2</v>
      </c>
      <c r="E393">
        <f t="shared" si="17"/>
        <v>3.6691964637742713E-2</v>
      </c>
      <c r="F393">
        <f t="shared" si="18"/>
        <v>5.1894145795571646E-2</v>
      </c>
      <c r="G393">
        <f t="shared" si="19"/>
        <v>-3.6691964637742713E-2</v>
      </c>
      <c r="H393">
        <f t="shared" si="20"/>
        <v>-5.1894145795571646E-2</v>
      </c>
    </row>
    <row r="394" spans="1:8" x14ac:dyDescent="0.2">
      <c r="A394" s="1">
        <v>44978</v>
      </c>
      <c r="B394">
        <v>146.35900000000001</v>
      </c>
      <c r="C394">
        <f t="shared" si="21"/>
        <v>-2.7043066115024016E-2</v>
      </c>
      <c r="D394">
        <f t="shared" si="16"/>
        <v>2.2343354873911103E-2</v>
      </c>
      <c r="E394">
        <f t="shared" si="17"/>
        <v>3.6751548302616517E-2</v>
      </c>
      <c r="F394">
        <f t="shared" si="18"/>
        <v>5.1978416109863153E-2</v>
      </c>
      <c r="G394">
        <f t="shared" si="19"/>
        <v>-3.6751548302616517E-2</v>
      </c>
      <c r="H394">
        <f t="shared" si="20"/>
        <v>-5.1978416109863153E-2</v>
      </c>
    </row>
    <row r="395" spans="1:8" x14ac:dyDescent="0.2">
      <c r="A395" s="1">
        <v>44979</v>
      </c>
      <c r="B395">
        <v>146.78399999999999</v>
      </c>
      <c r="C395">
        <f t="shared" si="21"/>
        <v>2.8996107549841927E-3</v>
      </c>
      <c r="D395">
        <f t="shared" si="16"/>
        <v>2.2284161400708793E-2</v>
      </c>
      <c r="E395">
        <f t="shared" si="17"/>
        <v>3.665418370352784E-2</v>
      </c>
      <c r="F395">
        <f t="shared" si="18"/>
        <v>5.1840711499321866E-2</v>
      </c>
      <c r="G395">
        <f t="shared" si="19"/>
        <v>-3.665418370352784E-2</v>
      </c>
      <c r="H395">
        <f t="shared" si="20"/>
        <v>-5.1840711499321866E-2</v>
      </c>
    </row>
    <row r="396" spans="1:8" x14ac:dyDescent="0.2">
      <c r="A396" s="1">
        <v>44980</v>
      </c>
      <c r="B396">
        <v>147.26599999999999</v>
      </c>
      <c r="C396">
        <f t="shared" si="21"/>
        <v>3.2783569576341465E-3</v>
      </c>
      <c r="D396">
        <f t="shared" si="16"/>
        <v>2.2259876746100755E-2</v>
      </c>
      <c r="E396">
        <f t="shared" si="17"/>
        <v>3.6614239001316551E-2</v>
      </c>
      <c r="F396">
        <f t="shared" si="18"/>
        <v>5.1784216944702643E-2</v>
      </c>
      <c r="G396">
        <f t="shared" si="19"/>
        <v>-3.6614239001316551E-2</v>
      </c>
      <c r="H396">
        <f t="shared" si="20"/>
        <v>-5.1784216944702643E-2</v>
      </c>
    </row>
    <row r="397" spans="1:8" x14ac:dyDescent="0.2">
      <c r="A397" s="1">
        <v>44981</v>
      </c>
      <c r="B397">
        <v>144.61500000000001</v>
      </c>
      <c r="C397">
        <f t="shared" si="21"/>
        <v>-1.8165436587942119E-2</v>
      </c>
      <c r="D397">
        <f t="shared" si="16"/>
        <v>2.2272501972023049E-2</v>
      </c>
      <c r="E397">
        <f t="shared" si="17"/>
        <v>3.6635005649965913E-2</v>
      </c>
      <c r="F397">
        <f t="shared" si="18"/>
        <v>5.1813587612186254E-2</v>
      </c>
      <c r="G397">
        <f t="shared" si="19"/>
        <v>-3.6635005649965913E-2</v>
      </c>
      <c r="H397">
        <f t="shared" si="20"/>
        <v>-5.1813587612186254E-2</v>
      </c>
    </row>
    <row r="398" spans="1:8" x14ac:dyDescent="0.2">
      <c r="A398" s="1">
        <v>44984</v>
      </c>
      <c r="B398">
        <v>145.809</v>
      </c>
      <c r="C398">
        <f t="shared" si="21"/>
        <v>8.2225072800470641E-3</v>
      </c>
      <c r="D398">
        <f t="shared" si="16"/>
        <v>2.2278865877416891E-2</v>
      </c>
      <c r="E398">
        <f t="shared" si="17"/>
        <v>3.664547334283455E-2</v>
      </c>
      <c r="F398">
        <f t="shared" si="18"/>
        <v>5.1828392269969811E-2</v>
      </c>
      <c r="G398">
        <f t="shared" si="19"/>
        <v>-3.664547334283455E-2</v>
      </c>
      <c r="H398">
        <f t="shared" si="20"/>
        <v>-5.1828392269969811E-2</v>
      </c>
    </row>
    <row r="399" spans="1:8" x14ac:dyDescent="0.2">
      <c r="A399" s="1">
        <v>44985</v>
      </c>
      <c r="B399">
        <v>145.30500000000001</v>
      </c>
      <c r="C399">
        <f t="shared" si="21"/>
        <v>-3.4625645180425446E-3</v>
      </c>
      <c r="D399">
        <f t="shared" si="16"/>
        <v>2.2268158525140944E-2</v>
      </c>
      <c r="E399">
        <f t="shared" si="17"/>
        <v>3.6627861315608412E-2</v>
      </c>
      <c r="F399">
        <f t="shared" si="18"/>
        <v>5.180348324376606E-2</v>
      </c>
      <c r="G399">
        <f t="shared" si="19"/>
        <v>-3.6627861315608412E-2</v>
      </c>
      <c r="H399">
        <f t="shared" si="20"/>
        <v>-5.180348324376606E-2</v>
      </c>
    </row>
    <row r="400" spans="1:8" x14ac:dyDescent="0.2">
      <c r="A400" s="1">
        <v>44986</v>
      </c>
      <c r="B400">
        <v>143.23500000000001</v>
      </c>
      <c r="C400">
        <f t="shared" si="21"/>
        <v>-1.4348343476182327E-2</v>
      </c>
      <c r="D400">
        <f t="shared" si="16"/>
        <v>2.2246314575684965E-2</v>
      </c>
      <c r="E400">
        <f t="shared" si="17"/>
        <v>3.6591931216118798E-2</v>
      </c>
      <c r="F400">
        <f t="shared" si="18"/>
        <v>5.1752666618388489E-2</v>
      </c>
      <c r="G400">
        <f t="shared" si="19"/>
        <v>-3.6591931216118798E-2</v>
      </c>
      <c r="H400">
        <f t="shared" si="20"/>
        <v>-5.1752666618388489E-2</v>
      </c>
    </row>
    <row r="401" spans="1:8" x14ac:dyDescent="0.2">
      <c r="A401" s="1">
        <v>44987</v>
      </c>
      <c r="B401">
        <v>143.82499999999999</v>
      </c>
      <c r="C401">
        <f t="shared" si="21"/>
        <v>4.1106446790815125E-3</v>
      </c>
      <c r="D401">
        <f t="shared" si="16"/>
        <v>2.2248045950592984E-2</v>
      </c>
      <c r="E401">
        <f t="shared" si="17"/>
        <v>3.659477907441587E-2</v>
      </c>
      <c r="F401">
        <f t="shared" si="18"/>
        <v>5.1756694398724927E-2</v>
      </c>
      <c r="G401">
        <f t="shared" si="19"/>
        <v>-3.659477907441587E-2</v>
      </c>
      <c r="H401">
        <f t="shared" si="20"/>
        <v>-5.1756694398724927E-2</v>
      </c>
    </row>
    <row r="402" spans="1:8" x14ac:dyDescent="0.2">
      <c r="A402" s="1">
        <v>44988</v>
      </c>
      <c r="B402">
        <v>148.875</v>
      </c>
      <c r="C402">
        <f t="shared" si="21"/>
        <v>3.45097449261072E-2</v>
      </c>
      <c r="D402">
        <f t="shared" si="16"/>
        <v>2.2327884942986674E-2</v>
      </c>
      <c r="E402">
        <f t="shared" si="17"/>
        <v>3.6726102530626782E-2</v>
      </c>
      <c r="F402">
        <f t="shared" si="18"/>
        <v>5.1942427668945551E-2</v>
      </c>
      <c r="G402">
        <f t="shared" si="19"/>
        <v>-3.6726102530626782E-2</v>
      </c>
      <c r="H402">
        <f t="shared" si="20"/>
        <v>-5.1942427668945551E-2</v>
      </c>
    </row>
    <row r="403" spans="1:8" x14ac:dyDescent="0.2">
      <c r="A403" s="1">
        <v>44991</v>
      </c>
      <c r="B403">
        <v>151.63499999999999</v>
      </c>
      <c r="C403">
        <f t="shared" si="21"/>
        <v>1.8369289598666443E-2</v>
      </c>
      <c r="D403">
        <f t="shared" si="16"/>
        <v>2.2308090138192849E-2</v>
      </c>
      <c r="E403">
        <f t="shared" si="17"/>
        <v>3.6693542974166861E-2</v>
      </c>
      <c r="F403">
        <f t="shared" si="18"/>
        <v>5.1896378066896377E-2</v>
      </c>
      <c r="G403">
        <f t="shared" si="19"/>
        <v>-3.6693542974166861E-2</v>
      </c>
      <c r="H403">
        <f t="shared" si="20"/>
        <v>-5.1896378066896377E-2</v>
      </c>
    </row>
    <row r="404" spans="1:8" x14ac:dyDescent="0.2">
      <c r="A404" s="1">
        <v>44992</v>
      </c>
      <c r="B404">
        <v>149.43600000000001</v>
      </c>
      <c r="C404">
        <f t="shared" si="21"/>
        <v>-1.4608109747118821E-2</v>
      </c>
      <c r="D404">
        <f t="shared" si="16"/>
        <v>2.2314770528072573E-2</v>
      </c>
      <c r="E404">
        <f t="shared" si="17"/>
        <v>3.6704531237689977E-2</v>
      </c>
      <c r="F404">
        <f t="shared" si="18"/>
        <v>5.1911918977690839E-2</v>
      </c>
      <c r="G404">
        <f t="shared" si="19"/>
        <v>-3.6704531237689977E-2</v>
      </c>
      <c r="H404">
        <f t="shared" si="20"/>
        <v>-5.1911918977690839E-2</v>
      </c>
    </row>
    <row r="405" spans="1:8" x14ac:dyDescent="0.2">
      <c r="A405" s="1">
        <v>44993</v>
      </c>
      <c r="B405">
        <v>150.68700000000001</v>
      </c>
      <c r="C405">
        <f t="shared" si="21"/>
        <v>8.3366302836139061E-3</v>
      </c>
      <c r="D405">
        <f t="shared" si="16"/>
        <v>2.2213577443470807E-2</v>
      </c>
      <c r="E405">
        <f t="shared" si="17"/>
        <v>3.6538083425460353E-2</v>
      </c>
      <c r="F405">
        <f t="shared" si="18"/>
        <v>5.1676508660459884E-2</v>
      </c>
      <c r="G405">
        <f t="shared" si="19"/>
        <v>-3.6538083425460353E-2</v>
      </c>
      <c r="H405">
        <f t="shared" si="20"/>
        <v>-5.1676508660459884E-2</v>
      </c>
    </row>
    <row r="406" spans="1:8" x14ac:dyDescent="0.2">
      <c r="A406" s="1">
        <v>44994</v>
      </c>
      <c r="B406">
        <v>148.43899999999999</v>
      </c>
      <c r="C406">
        <f t="shared" si="21"/>
        <v>-1.5030738369565314E-2</v>
      </c>
      <c r="D406">
        <f t="shared" si="16"/>
        <v>2.2165817935885346E-2</v>
      </c>
      <c r="E406">
        <f t="shared" si="17"/>
        <v>3.6459526026186989E-2</v>
      </c>
      <c r="F406">
        <f t="shared" si="18"/>
        <v>5.1565403431523209E-2</v>
      </c>
      <c r="G406">
        <f t="shared" si="19"/>
        <v>-3.6459526026186989E-2</v>
      </c>
      <c r="H406">
        <f t="shared" si="20"/>
        <v>-5.1565403431523209E-2</v>
      </c>
    </row>
    <row r="407" spans="1:8" x14ac:dyDescent="0.2">
      <c r="A407" s="1">
        <v>44995</v>
      </c>
      <c r="B407">
        <v>146.37899999999999</v>
      </c>
      <c r="C407">
        <f t="shared" si="21"/>
        <v>-1.3974950825676983E-2</v>
      </c>
      <c r="D407">
        <f t="shared" si="16"/>
        <v>2.2130655267672206E-2</v>
      </c>
      <c r="E407">
        <f t="shared" si="17"/>
        <v>3.6401688583843315E-2</v>
      </c>
      <c r="F407">
        <f t="shared" si="18"/>
        <v>5.1483602833079969E-2</v>
      </c>
      <c r="G407">
        <f t="shared" si="19"/>
        <v>-3.6401688583843315E-2</v>
      </c>
      <c r="H407">
        <f t="shared" si="20"/>
        <v>-5.1483602833079969E-2</v>
      </c>
    </row>
    <row r="408" spans="1:8" x14ac:dyDescent="0.2">
      <c r="A408" s="1">
        <v>44998</v>
      </c>
      <c r="B408">
        <v>148.32</v>
      </c>
      <c r="C408">
        <f t="shared" si="21"/>
        <v>1.3172953202161717E-2</v>
      </c>
      <c r="D408">
        <f t="shared" si="16"/>
        <v>2.2081080626483188E-2</v>
      </c>
      <c r="E408">
        <f t="shared" si="17"/>
        <v>3.6320145555478744E-2</v>
      </c>
      <c r="F408">
        <f t="shared" si="18"/>
        <v>5.1368274971943559E-2</v>
      </c>
      <c r="G408">
        <f t="shared" si="19"/>
        <v>-3.6320145555478744E-2</v>
      </c>
      <c r="H408">
        <f t="shared" si="20"/>
        <v>-5.1368274971943559E-2</v>
      </c>
    </row>
    <row r="409" spans="1:8" x14ac:dyDescent="0.2">
      <c r="A409" s="1">
        <v>44999</v>
      </c>
      <c r="B409">
        <v>150.411</v>
      </c>
      <c r="C409">
        <f t="shared" si="21"/>
        <v>1.39994453215919E-2</v>
      </c>
      <c r="D409">
        <f t="shared" si="16"/>
        <v>2.2021105358879571E-2</v>
      </c>
      <c r="E409">
        <f t="shared" si="17"/>
        <v>3.6221495019033552E-2</v>
      </c>
      <c r="F409">
        <f t="shared" si="18"/>
        <v>5.1228751635658855E-2</v>
      </c>
      <c r="G409">
        <f t="shared" si="19"/>
        <v>-3.6221495019033552E-2</v>
      </c>
      <c r="H409">
        <f t="shared" si="20"/>
        <v>-5.1228751635658855E-2</v>
      </c>
    </row>
    <row r="410" spans="1:8" x14ac:dyDescent="0.2">
      <c r="A410" s="1">
        <v>45000</v>
      </c>
      <c r="B410">
        <v>150.80600000000001</v>
      </c>
      <c r="C410">
        <f t="shared" si="21"/>
        <v>2.622695441613844E-3</v>
      </c>
      <c r="D410">
        <f t="shared" si="16"/>
        <v>2.1946363614259456E-2</v>
      </c>
      <c r="E410">
        <f t="shared" si="17"/>
        <v>3.6098555789310469E-2</v>
      </c>
      <c r="F410">
        <f t="shared" si="18"/>
        <v>5.1054876336959744E-2</v>
      </c>
      <c r="G410">
        <f t="shared" si="19"/>
        <v>-3.6098555789310469E-2</v>
      </c>
      <c r="H410">
        <f t="shared" si="20"/>
        <v>-5.1054876336959744E-2</v>
      </c>
    </row>
    <row r="411" spans="1:8" x14ac:dyDescent="0.2">
      <c r="A411" s="1">
        <v>45001</v>
      </c>
      <c r="B411">
        <v>153.624</v>
      </c>
      <c r="C411">
        <f t="shared" si="21"/>
        <v>1.851381592706117E-2</v>
      </c>
      <c r="D411">
        <f t="shared" si="16"/>
        <v>2.1974242066474782E-2</v>
      </c>
      <c r="E411">
        <f t="shared" si="17"/>
        <v>3.6144411762550642E-2</v>
      </c>
      <c r="F411">
        <f t="shared" si="18"/>
        <v>5.1119731315002422E-2</v>
      </c>
      <c r="G411">
        <f t="shared" si="19"/>
        <v>-3.6144411762550642E-2</v>
      </c>
      <c r="H411">
        <f t="shared" si="20"/>
        <v>-5.1119731315002422E-2</v>
      </c>
    </row>
    <row r="412" spans="1:8" x14ac:dyDescent="0.2">
      <c r="A412" s="1">
        <v>45002</v>
      </c>
      <c r="B412">
        <v>152.786</v>
      </c>
      <c r="C412">
        <f t="shared" si="21"/>
        <v>-5.4698090096878633E-3</v>
      </c>
      <c r="D412">
        <f t="shared" si="16"/>
        <v>2.1936946223407184E-2</v>
      </c>
      <c r="E412">
        <f t="shared" si="17"/>
        <v>3.6083065559810695E-2</v>
      </c>
      <c r="F412">
        <f t="shared" si="18"/>
        <v>5.1032968209771552E-2</v>
      </c>
      <c r="G412">
        <f t="shared" si="19"/>
        <v>-3.6083065559810695E-2</v>
      </c>
      <c r="H412">
        <f t="shared" si="20"/>
        <v>-5.1032968209771552E-2</v>
      </c>
    </row>
    <row r="413" spans="1:8" x14ac:dyDescent="0.2">
      <c r="A413" s="1">
        <v>45005</v>
      </c>
      <c r="B413">
        <v>155.15199999999999</v>
      </c>
      <c r="C413">
        <f t="shared" si="21"/>
        <v>1.5367032064066288E-2</v>
      </c>
      <c r="D413">
        <f t="shared" si="16"/>
        <v>2.1952154315516142E-2</v>
      </c>
      <c r="E413">
        <f t="shared" si="17"/>
        <v>3.6108080645275126E-2</v>
      </c>
      <c r="F413">
        <f t="shared" si="18"/>
        <v>5.1068347522517446E-2</v>
      </c>
      <c r="G413">
        <f t="shared" si="19"/>
        <v>-3.6108080645275126E-2</v>
      </c>
      <c r="H413">
        <f t="shared" si="20"/>
        <v>-5.1068347522517446E-2</v>
      </c>
    </row>
    <row r="414" spans="1:8" x14ac:dyDescent="0.2">
      <c r="A414" s="1">
        <v>45006</v>
      </c>
      <c r="B414">
        <v>157.005</v>
      </c>
      <c r="C414">
        <f t="shared" si="21"/>
        <v>1.1872370412766469E-2</v>
      </c>
      <c r="D414">
        <f t="shared" si="16"/>
        <v>2.1926108125254272E-2</v>
      </c>
      <c r="E414">
        <f t="shared" si="17"/>
        <v>3.6065238474754617E-2</v>
      </c>
      <c r="F414">
        <f t="shared" si="18"/>
        <v>5.1007755023174881E-2</v>
      </c>
      <c r="G414">
        <f t="shared" si="19"/>
        <v>-3.6065238474754617E-2</v>
      </c>
      <c r="H414">
        <f t="shared" si="20"/>
        <v>-5.1007755023174881E-2</v>
      </c>
    </row>
    <row r="415" spans="1:8" x14ac:dyDescent="0.2">
      <c r="A415" s="1">
        <v>45007</v>
      </c>
      <c r="B415">
        <v>155.57499999999999</v>
      </c>
      <c r="C415">
        <f t="shared" si="21"/>
        <v>-9.1497215196752503E-3</v>
      </c>
      <c r="D415">
        <f t="shared" si="16"/>
        <v>2.1926815443796967E-2</v>
      </c>
      <c r="E415">
        <f t="shared" si="17"/>
        <v>3.6066401910224984E-2</v>
      </c>
      <c r="F415">
        <f t="shared" si="18"/>
        <v>5.1009400492162946E-2</v>
      </c>
      <c r="G415">
        <f t="shared" si="19"/>
        <v>-3.6066401910224984E-2</v>
      </c>
      <c r="H415">
        <f t="shared" si="20"/>
        <v>-5.1009400492162946E-2</v>
      </c>
    </row>
    <row r="416" spans="1:8" x14ac:dyDescent="0.2">
      <c r="A416" s="1">
        <v>45008</v>
      </c>
      <c r="B416">
        <v>156.65899999999999</v>
      </c>
      <c r="C416">
        <f t="shared" si="21"/>
        <v>6.9435382130867522E-3</v>
      </c>
      <c r="D416">
        <f t="shared" si="16"/>
        <v>2.188435929233885E-2</v>
      </c>
      <c r="E416">
        <f t="shared" si="17"/>
        <v>3.5996567755512694E-2</v>
      </c>
      <c r="F416">
        <f t="shared" si="18"/>
        <v>5.0910632714478404E-2</v>
      </c>
      <c r="G416">
        <f t="shared" si="19"/>
        <v>-3.5996567755512694E-2</v>
      </c>
      <c r="H416">
        <f t="shared" si="20"/>
        <v>-5.0910632714478404E-2</v>
      </c>
    </row>
    <row r="417" spans="1:8" x14ac:dyDescent="0.2">
      <c r="A417" s="1">
        <v>45009</v>
      </c>
      <c r="B417">
        <v>157.96199999999999</v>
      </c>
      <c r="C417">
        <f t="shared" si="21"/>
        <v>8.2830291031992624E-3</v>
      </c>
      <c r="D417">
        <f t="shared" si="16"/>
        <v>2.1889650689209061E-2</v>
      </c>
      <c r="E417">
        <f t="shared" si="17"/>
        <v>3.6005271328846303E-2</v>
      </c>
      <c r="F417">
        <f t="shared" si="18"/>
        <v>5.0922942344338126E-2</v>
      </c>
      <c r="G417">
        <f t="shared" si="19"/>
        <v>-3.6005271328846303E-2</v>
      </c>
      <c r="H417">
        <f t="shared" si="20"/>
        <v>-5.0922942344338126E-2</v>
      </c>
    </row>
    <row r="418" spans="1:8" x14ac:dyDescent="0.2">
      <c r="A418" s="1">
        <v>45012</v>
      </c>
      <c r="B418">
        <v>156.02000000000001</v>
      </c>
      <c r="C418">
        <f t="shared" si="21"/>
        <v>-1.2370293611400442E-2</v>
      </c>
      <c r="D418">
        <f t="shared" si="16"/>
        <v>2.1900222635035868E-2</v>
      </c>
      <c r="E418">
        <f t="shared" si="17"/>
        <v>3.602266063228346E-2</v>
      </c>
      <c r="F418">
        <f t="shared" si="18"/>
        <v>5.094753636803679E-2</v>
      </c>
      <c r="G418">
        <f t="shared" si="19"/>
        <v>-3.602266063228346E-2</v>
      </c>
      <c r="H418">
        <f t="shared" si="20"/>
        <v>-5.094753636803679E-2</v>
      </c>
    </row>
    <row r="419" spans="1:8" x14ac:dyDescent="0.2">
      <c r="A419" s="1">
        <v>45013</v>
      </c>
      <c r="B419">
        <v>155.399</v>
      </c>
      <c r="C419">
        <f t="shared" si="21"/>
        <v>-3.9882012537598649E-3</v>
      </c>
      <c r="D419">
        <f t="shared" si="16"/>
        <v>2.1866838496727291E-2</v>
      </c>
      <c r="E419">
        <f t="shared" si="17"/>
        <v>3.5967748611303946E-2</v>
      </c>
      <c r="F419">
        <f t="shared" si="18"/>
        <v>5.0869873248855946E-2</v>
      </c>
      <c r="G419">
        <f t="shared" si="19"/>
        <v>-3.5967748611303946E-2</v>
      </c>
      <c r="H419">
        <f t="shared" si="20"/>
        <v>-5.0869873248855946E-2</v>
      </c>
    </row>
    <row r="420" spans="1:8" x14ac:dyDescent="0.2">
      <c r="A420" s="1">
        <v>45014</v>
      </c>
      <c r="B420">
        <v>158.47399999999999</v>
      </c>
      <c r="C420">
        <f t="shared" si="21"/>
        <v>1.9594539100357841E-2</v>
      </c>
      <c r="D420">
        <f t="shared" si="16"/>
        <v>2.19000597047391E-2</v>
      </c>
      <c r="E420">
        <f t="shared" si="17"/>
        <v>3.6022392635793883E-2</v>
      </c>
      <c r="F420">
        <f t="shared" si="18"/>
        <v>5.0947157335487291E-2</v>
      </c>
      <c r="G420">
        <f t="shared" si="19"/>
        <v>-3.6022392635793883E-2</v>
      </c>
      <c r="H420">
        <f t="shared" si="20"/>
        <v>-5.0947157335487291E-2</v>
      </c>
    </row>
    <row r="421" spans="1:8" x14ac:dyDescent="0.2">
      <c r="A421" s="1">
        <v>45015</v>
      </c>
      <c r="B421">
        <v>160.041</v>
      </c>
      <c r="C421">
        <f t="shared" si="21"/>
        <v>9.8394904006382563E-3</v>
      </c>
      <c r="D421">
        <f t="shared" si="16"/>
        <v>2.1880982400923257E-2</v>
      </c>
      <c r="E421">
        <f t="shared" si="17"/>
        <v>3.5991013263419934E-2</v>
      </c>
      <c r="F421">
        <f t="shared" si="18"/>
        <v>5.0902776890312869E-2</v>
      </c>
      <c r="G421">
        <f t="shared" si="19"/>
        <v>-3.5991013263419934E-2</v>
      </c>
      <c r="H421">
        <f t="shared" si="20"/>
        <v>-5.0902776890312869E-2</v>
      </c>
    </row>
    <row r="422" spans="1:8" x14ac:dyDescent="0.2">
      <c r="A422" s="1">
        <v>45016</v>
      </c>
      <c r="B422">
        <v>162.54599999999999</v>
      </c>
      <c r="C422">
        <f t="shared" si="21"/>
        <v>1.5531006226753064E-2</v>
      </c>
      <c r="D422">
        <f t="shared" si="16"/>
        <v>2.1903570680084382E-2</v>
      </c>
      <c r="E422">
        <f t="shared" si="17"/>
        <v>3.6028167676324704E-2</v>
      </c>
      <c r="F422">
        <f t="shared" si="18"/>
        <v>5.0955325085517596E-2</v>
      </c>
      <c r="G422">
        <f t="shared" si="19"/>
        <v>-3.6028167676324704E-2</v>
      </c>
      <c r="H422">
        <f t="shared" si="20"/>
        <v>-5.0955325085517596E-2</v>
      </c>
    </row>
    <row r="423" spans="1:8" x14ac:dyDescent="0.2">
      <c r="A423" s="1">
        <v>45019</v>
      </c>
      <c r="B423">
        <v>163.797</v>
      </c>
      <c r="C423">
        <f t="shared" si="21"/>
        <v>7.666817598775506E-3</v>
      </c>
      <c r="D423">
        <f t="shared" si="16"/>
        <v>2.1857864291080376E-2</v>
      </c>
      <c r="E423">
        <f t="shared" si="17"/>
        <v>3.5952987356596612E-2</v>
      </c>
      <c r="F423">
        <f t="shared" si="18"/>
        <v>5.0848996124628044E-2</v>
      </c>
      <c r="G423">
        <f t="shared" si="19"/>
        <v>-3.5952987356596612E-2</v>
      </c>
      <c r="H423">
        <f t="shared" si="20"/>
        <v>-5.0848996124628044E-2</v>
      </c>
    </row>
    <row r="424" spans="1:8" x14ac:dyDescent="0.2">
      <c r="A424" s="1">
        <v>45020</v>
      </c>
      <c r="B424">
        <v>163.26499999999999</v>
      </c>
      <c r="C424">
        <f t="shared" si="21"/>
        <v>-3.2532086833434973E-3</v>
      </c>
      <c r="D424">
        <f t="shared" si="16"/>
        <v>2.1825856985254688E-2</v>
      </c>
      <c r="E424">
        <f t="shared" si="17"/>
        <v>3.5900340023520286E-2</v>
      </c>
      <c r="F424">
        <f t="shared" si="18"/>
        <v>5.0774535996766679E-2</v>
      </c>
      <c r="G424">
        <f t="shared" si="19"/>
        <v>-3.5900340023520286E-2</v>
      </c>
      <c r="H424">
        <f t="shared" si="20"/>
        <v>-5.0774535996766679E-2</v>
      </c>
    </row>
    <row r="425" spans="1:8" x14ac:dyDescent="0.2">
      <c r="A425" s="1">
        <v>45021</v>
      </c>
      <c r="B425">
        <v>161.41999999999999</v>
      </c>
      <c r="C425">
        <f t="shared" si="21"/>
        <v>-1.1364983653362307E-2</v>
      </c>
      <c r="D425">
        <f t="shared" si="16"/>
        <v>2.1806141292758797E-2</v>
      </c>
      <c r="E425">
        <f t="shared" si="17"/>
        <v>3.5867910595210557E-2</v>
      </c>
      <c r="F425">
        <f t="shared" si="18"/>
        <v>5.072867043744362E-2</v>
      </c>
      <c r="G425">
        <f t="shared" si="19"/>
        <v>-3.5867910595210557E-2</v>
      </c>
      <c r="H425">
        <f t="shared" si="20"/>
        <v>-5.072867043744362E-2</v>
      </c>
    </row>
    <row r="426" spans="1:8" x14ac:dyDescent="0.2">
      <c r="A426" s="1">
        <v>45022</v>
      </c>
      <c r="B426">
        <v>162.309</v>
      </c>
      <c r="C426">
        <f t="shared" si="21"/>
        <v>5.4922619519308068E-3</v>
      </c>
      <c r="D426">
        <f t="shared" si="16"/>
        <v>2.1808730681246329E-2</v>
      </c>
      <c r="E426">
        <f t="shared" si="17"/>
        <v>3.5872169760255861E-2</v>
      </c>
      <c r="F426">
        <f t="shared" si="18"/>
        <v>5.0734694255846653E-2</v>
      </c>
      <c r="G426">
        <f t="shared" si="19"/>
        <v>-3.5872169760255861E-2</v>
      </c>
      <c r="H426">
        <f t="shared" si="20"/>
        <v>-5.0734694255846653E-2</v>
      </c>
    </row>
    <row r="427" spans="1:8" x14ac:dyDescent="0.2">
      <c r="A427" s="1">
        <v>45026</v>
      </c>
      <c r="B427">
        <v>159.71600000000001</v>
      </c>
      <c r="C427">
        <f t="shared" si="21"/>
        <v>-1.6104687793434918E-2</v>
      </c>
      <c r="D427">
        <f t="shared" si="16"/>
        <v>2.181922571242945E-2</v>
      </c>
      <c r="E427">
        <f t="shared" si="17"/>
        <v>3.5889432550362386E-2</v>
      </c>
      <c r="F427">
        <f t="shared" si="18"/>
        <v>5.0759109349327501E-2</v>
      </c>
      <c r="G427">
        <f t="shared" si="19"/>
        <v>-3.5889432550362386E-2</v>
      </c>
      <c r="H427">
        <f t="shared" si="20"/>
        <v>-5.0759109349327501E-2</v>
      </c>
    </row>
    <row r="428" spans="1:8" x14ac:dyDescent="0.2">
      <c r="A428" s="1">
        <v>45027</v>
      </c>
      <c r="B428">
        <v>158.50399999999999</v>
      </c>
      <c r="C428">
        <f t="shared" si="21"/>
        <v>-7.6174084627643442E-3</v>
      </c>
      <c r="D428">
        <f t="shared" si="16"/>
        <v>2.1763524765028571E-2</v>
      </c>
      <c r="E428">
        <f t="shared" si="17"/>
        <v>3.5797812645005415E-2</v>
      </c>
      <c r="F428">
        <f t="shared" si="18"/>
        <v>5.0629529568759407E-2</v>
      </c>
      <c r="G428">
        <f t="shared" si="19"/>
        <v>-3.5797812645005415E-2</v>
      </c>
      <c r="H428">
        <f t="shared" si="20"/>
        <v>-5.0629529568759407E-2</v>
      </c>
    </row>
    <row r="429" spans="1:8" x14ac:dyDescent="0.2">
      <c r="A429" s="1">
        <v>45028</v>
      </c>
      <c r="B429">
        <v>157.81299999999999</v>
      </c>
      <c r="C429">
        <f t="shared" si="21"/>
        <v>-4.3690418104662641E-3</v>
      </c>
      <c r="D429">
        <f t="shared" si="16"/>
        <v>2.1752852445093958E-2</v>
      </c>
      <c r="E429">
        <f t="shared" si="17"/>
        <v>3.5780258240852979E-2</v>
      </c>
      <c r="F429">
        <f t="shared" si="18"/>
        <v>5.0604702039968433E-2</v>
      </c>
      <c r="G429">
        <f t="shared" si="19"/>
        <v>-3.5780258240852979E-2</v>
      </c>
      <c r="H429">
        <f t="shared" si="20"/>
        <v>-5.0604702039968433E-2</v>
      </c>
    </row>
    <row r="430" spans="1:8" x14ac:dyDescent="0.2">
      <c r="A430" s="1">
        <v>45029</v>
      </c>
      <c r="B430">
        <v>163.19499999999999</v>
      </c>
      <c r="C430">
        <f t="shared" si="21"/>
        <v>3.3535017024282937E-2</v>
      </c>
      <c r="D430">
        <f t="shared" si="16"/>
        <v>2.1832601397836746E-2</v>
      </c>
      <c r="E430">
        <f t="shared" si="17"/>
        <v>3.5911433595017542E-2</v>
      </c>
      <c r="F430">
        <f t="shared" si="18"/>
        <v>5.0790225846638601E-2</v>
      </c>
      <c r="G430">
        <f t="shared" si="19"/>
        <v>-3.5911433595017542E-2</v>
      </c>
      <c r="H430">
        <f t="shared" si="20"/>
        <v>-5.0790225846638601E-2</v>
      </c>
    </row>
    <row r="431" spans="1:8" x14ac:dyDescent="0.2">
      <c r="A431" s="1">
        <v>45030</v>
      </c>
      <c r="B431">
        <v>162.851</v>
      </c>
      <c r="C431">
        <f t="shared" si="21"/>
        <v>-2.1101324821827523E-3</v>
      </c>
      <c r="D431">
        <f t="shared" si="16"/>
        <v>2.1747821993096814E-2</v>
      </c>
      <c r="E431">
        <f t="shared" si="17"/>
        <v>3.5771983883640272E-2</v>
      </c>
      <c r="F431">
        <f t="shared" si="18"/>
        <v>5.0592999458659416E-2</v>
      </c>
      <c r="G431">
        <f t="shared" si="19"/>
        <v>-3.5771983883640272E-2</v>
      </c>
      <c r="H431">
        <f t="shared" si="20"/>
        <v>-5.0592999458659416E-2</v>
      </c>
    </row>
    <row r="432" spans="1:8" x14ac:dyDescent="0.2">
      <c r="A432" s="1">
        <v>45033</v>
      </c>
      <c r="B432">
        <v>162.87</v>
      </c>
      <c r="C432">
        <f t="shared" si="21"/>
        <v>1.1666426187776603E-4</v>
      </c>
      <c r="D432">
        <f t="shared" si="16"/>
        <v>2.1747652056155531E-2</v>
      </c>
      <c r="E432">
        <f t="shared" si="17"/>
        <v>3.5771704362246054E-2</v>
      </c>
      <c r="F432">
        <f t="shared" si="18"/>
        <v>5.0592604126217341E-2</v>
      </c>
      <c r="G432">
        <f t="shared" si="19"/>
        <v>-3.5771704362246054E-2</v>
      </c>
      <c r="H432">
        <f t="shared" si="20"/>
        <v>-5.0592604126217341E-2</v>
      </c>
    </row>
    <row r="433" spans="1:8" x14ac:dyDescent="0.2">
      <c r="A433" s="1">
        <v>45034</v>
      </c>
      <c r="B433">
        <v>164.09299999999999</v>
      </c>
      <c r="C433">
        <f t="shared" si="21"/>
        <v>7.4810036842293329E-3</v>
      </c>
      <c r="D433">
        <f t="shared" si="16"/>
        <v>2.1734739532943328E-2</v>
      </c>
      <c r="E433">
        <f t="shared" si="17"/>
        <v>3.5750465151607368E-2</v>
      </c>
      <c r="F433">
        <f t="shared" si="18"/>
        <v>5.0562565105294124E-2</v>
      </c>
      <c r="G433">
        <f t="shared" si="19"/>
        <v>-3.5750465151607368E-2</v>
      </c>
      <c r="H433">
        <f t="shared" si="20"/>
        <v>-5.0562565105294124E-2</v>
      </c>
    </row>
    <row r="434" spans="1:8" x14ac:dyDescent="0.2">
      <c r="A434" s="1">
        <v>45035</v>
      </c>
      <c r="B434">
        <v>165.23500000000001</v>
      </c>
      <c r="C434">
        <f t="shared" si="21"/>
        <v>6.9353627838648632E-3</v>
      </c>
      <c r="D434">
        <f t="shared" si="16"/>
        <v>2.1739057221022984E-2</v>
      </c>
      <c r="E434">
        <f t="shared" si="17"/>
        <v>3.5757567116505233E-2</v>
      </c>
      <c r="F434">
        <f t="shared" si="18"/>
        <v>5.0572609549779005E-2</v>
      </c>
      <c r="G434">
        <f t="shared" si="19"/>
        <v>-3.5757567116505233E-2</v>
      </c>
      <c r="H434">
        <f t="shared" si="20"/>
        <v>-5.0572609549779005E-2</v>
      </c>
    </row>
    <row r="435" spans="1:8" x14ac:dyDescent="0.2">
      <c r="A435" s="1">
        <v>45036</v>
      </c>
      <c r="B435">
        <v>164.27</v>
      </c>
      <c r="C435">
        <f t="shared" si="21"/>
        <v>-5.857287500454971E-3</v>
      </c>
      <c r="D435">
        <f t="shared" si="16"/>
        <v>2.1740107293381532E-2</v>
      </c>
      <c r="E435">
        <f t="shared" si="17"/>
        <v>3.5759294331832753E-2</v>
      </c>
      <c r="F435">
        <f t="shared" si="18"/>
        <v>5.0575052383377908E-2</v>
      </c>
      <c r="G435">
        <f t="shared" si="19"/>
        <v>-3.5759294331832753E-2</v>
      </c>
      <c r="H435">
        <f t="shared" si="20"/>
        <v>-5.0575052383377908E-2</v>
      </c>
    </row>
    <row r="436" spans="1:8" x14ac:dyDescent="0.2">
      <c r="A436" s="1">
        <v>45037</v>
      </c>
      <c r="B436">
        <v>162.66300000000001</v>
      </c>
      <c r="C436">
        <f t="shared" si="21"/>
        <v>-9.8308396057293843E-3</v>
      </c>
      <c r="D436">
        <f t="shared" si="16"/>
        <v>2.1674930488482291E-2</v>
      </c>
      <c r="E436">
        <f t="shared" si="17"/>
        <v>3.5652088027901124E-2</v>
      </c>
      <c r="F436">
        <f t="shared" si="18"/>
        <v>5.0423428461863783E-2</v>
      </c>
      <c r="G436">
        <f t="shared" si="19"/>
        <v>-3.5652088027901124E-2</v>
      </c>
      <c r="H436">
        <f t="shared" si="20"/>
        <v>-5.0423428461863783E-2</v>
      </c>
    </row>
    <row r="437" spans="1:8" x14ac:dyDescent="0.2">
      <c r="A437" s="1">
        <v>45040</v>
      </c>
      <c r="B437">
        <v>162.97</v>
      </c>
      <c r="C437">
        <f t="shared" si="21"/>
        <v>1.8855588405181087E-3</v>
      </c>
      <c r="D437">
        <f t="shared" si="16"/>
        <v>2.167114293780267E-2</v>
      </c>
      <c r="E437">
        <f t="shared" si="17"/>
        <v>3.564585806142849E-2</v>
      </c>
      <c r="F437">
        <f t="shared" si="18"/>
        <v>5.041461730139242E-2</v>
      </c>
      <c r="G437">
        <f t="shared" si="19"/>
        <v>-3.564585806142849E-2</v>
      </c>
      <c r="H437">
        <f t="shared" si="20"/>
        <v>-5.041461730139242E-2</v>
      </c>
    </row>
    <row r="438" spans="1:8" x14ac:dyDescent="0.2">
      <c r="A438" s="1">
        <v>45041</v>
      </c>
      <c r="B438">
        <v>161.43</v>
      </c>
      <c r="C438">
        <f t="shared" si="21"/>
        <v>-9.4945226184593948E-3</v>
      </c>
      <c r="D438">
        <f t="shared" si="16"/>
        <v>2.1544235403577101E-2</v>
      </c>
      <c r="E438">
        <f t="shared" si="17"/>
        <v>3.5437113743470097E-2</v>
      </c>
      <c r="F438">
        <f t="shared" si="18"/>
        <v>5.0119386228947002E-2</v>
      </c>
      <c r="G438">
        <f t="shared" si="19"/>
        <v>-3.5437113743470097E-2</v>
      </c>
      <c r="H438">
        <f t="shared" si="20"/>
        <v>-5.0119386228947002E-2</v>
      </c>
    </row>
    <row r="439" spans="1:8" x14ac:dyDescent="0.2">
      <c r="A439" s="1">
        <v>45042</v>
      </c>
      <c r="B439">
        <v>161.41999999999999</v>
      </c>
      <c r="C439">
        <f t="shared" si="21"/>
        <v>-6.1948273211765302E-5</v>
      </c>
      <c r="D439">
        <f t="shared" si="16"/>
        <v>2.1543978896363943E-2</v>
      </c>
      <c r="E439">
        <f t="shared" si="17"/>
        <v>3.5436691826650192E-2</v>
      </c>
      <c r="F439">
        <f t="shared" si="18"/>
        <v>5.0118789503937E-2</v>
      </c>
      <c r="G439">
        <f t="shared" si="19"/>
        <v>-3.5436691826650192E-2</v>
      </c>
      <c r="H439">
        <f t="shared" si="20"/>
        <v>-5.0118789503937E-2</v>
      </c>
    </row>
    <row r="440" spans="1:8" x14ac:dyDescent="0.2">
      <c r="A440" s="1">
        <v>45043</v>
      </c>
      <c r="B440">
        <v>166.005</v>
      </c>
      <c r="C440">
        <f t="shared" si="21"/>
        <v>2.8008244488632095E-2</v>
      </c>
      <c r="D440">
        <f t="shared" si="16"/>
        <v>2.1435321723449224E-2</v>
      </c>
      <c r="E440">
        <f t="shared" si="17"/>
        <v>3.5257966681687125E-2</v>
      </c>
      <c r="F440">
        <f t="shared" si="18"/>
        <v>4.9866015120727553E-2</v>
      </c>
      <c r="G440">
        <f t="shared" si="19"/>
        <v>-3.5257966681687125E-2</v>
      </c>
      <c r="H440">
        <f t="shared" si="20"/>
        <v>-4.9866015120727553E-2</v>
      </c>
    </row>
    <row r="441" spans="1:8" x14ac:dyDescent="0.2">
      <c r="A441" s="1">
        <v>45044</v>
      </c>
      <c r="B441">
        <v>167.256</v>
      </c>
      <c r="C441">
        <f t="shared" si="21"/>
        <v>7.5076644194690305E-3</v>
      </c>
      <c r="D441">
        <f t="shared" si="16"/>
        <v>2.1308027521653113E-2</v>
      </c>
      <c r="E441">
        <f t="shared" si="17"/>
        <v>3.5048586352172902E-2</v>
      </c>
      <c r="F441">
        <f t="shared" si="18"/>
        <v>4.9569884525001447E-2</v>
      </c>
      <c r="G441">
        <f t="shared" si="19"/>
        <v>-3.5048586352172902E-2</v>
      </c>
      <c r="H441">
        <f t="shared" si="20"/>
        <v>-4.9569884525001447E-2</v>
      </c>
    </row>
    <row r="442" spans="1:8" x14ac:dyDescent="0.2">
      <c r="A442" s="1">
        <v>45047</v>
      </c>
      <c r="B442">
        <v>167.16900000000001</v>
      </c>
      <c r="C442">
        <f t="shared" si="21"/>
        <v>-5.2029604223735029E-4</v>
      </c>
      <c r="D442">
        <f t="shared" si="16"/>
        <v>2.1307835543796037E-2</v>
      </c>
      <c r="E442">
        <f t="shared" si="17"/>
        <v>3.504827057669839E-2</v>
      </c>
      <c r="F442">
        <f t="shared" si="18"/>
        <v>4.9569437917721774E-2</v>
      </c>
      <c r="G442">
        <f t="shared" si="19"/>
        <v>-3.504827057669839E-2</v>
      </c>
      <c r="H442">
        <f t="shared" si="20"/>
        <v>-4.9569437917721774E-2</v>
      </c>
    </row>
    <row r="443" spans="1:8" x14ac:dyDescent="0.2">
      <c r="A443" s="1">
        <v>45048</v>
      </c>
      <c r="B443">
        <v>166.13300000000001</v>
      </c>
      <c r="C443">
        <f t="shared" si="21"/>
        <v>-6.2166043795148325E-3</v>
      </c>
      <c r="D443">
        <f t="shared" si="16"/>
        <v>2.130363857095104E-2</v>
      </c>
      <c r="E443">
        <f t="shared" si="17"/>
        <v>3.5041367170692082E-2</v>
      </c>
      <c r="F443">
        <f t="shared" si="18"/>
        <v>4.9559674298866409E-2</v>
      </c>
      <c r="G443">
        <f t="shared" si="19"/>
        <v>-3.5041367170692082E-2</v>
      </c>
      <c r="H443">
        <f t="shared" si="20"/>
        <v>-4.9559674298866409E-2</v>
      </c>
    </row>
    <row r="444" spans="1:8" x14ac:dyDescent="0.2">
      <c r="A444" s="1">
        <v>45049</v>
      </c>
      <c r="B444">
        <v>165.05799999999999</v>
      </c>
      <c r="C444">
        <f t="shared" si="21"/>
        <v>-6.4917450974560295E-3</v>
      </c>
      <c r="D444">
        <f t="shared" si="16"/>
        <v>2.1156185258561853E-2</v>
      </c>
      <c r="E444">
        <f t="shared" si="17"/>
        <v>3.4798828055002722E-2</v>
      </c>
      <c r="F444">
        <f t="shared" si="18"/>
        <v>4.921664659906954E-2</v>
      </c>
      <c r="G444">
        <f t="shared" si="19"/>
        <v>-3.4798828055002722E-2</v>
      </c>
      <c r="H444">
        <f t="shared" si="20"/>
        <v>-4.921664659906954E-2</v>
      </c>
    </row>
    <row r="445" spans="1:8" x14ac:dyDescent="0.2">
      <c r="A445" s="1">
        <v>45050</v>
      </c>
      <c r="B445">
        <v>163.423</v>
      </c>
      <c r="C445">
        <f t="shared" si="21"/>
        <v>-9.954995890888392E-3</v>
      </c>
      <c r="D445">
        <f t="shared" ref="D445:D508" si="22">_xlfn.STDEV.S(C196:C445)</f>
        <v>2.0849781693268885E-2</v>
      </c>
      <c r="E445">
        <f t="shared" ref="E445:E508" si="23">_xlfn.NORM.S.INV(0.95)*D445</f>
        <v>3.4294839039319715E-2</v>
      </c>
      <c r="F445">
        <f t="shared" ref="F445:F508" si="24">_xlfn.NORM.S.INV(0.99)*D445</f>
        <v>4.8503845316351712E-2</v>
      </c>
      <c r="G445">
        <f t="shared" ref="G445:G508" si="25">-E445</f>
        <v>-3.4294839039319715E-2</v>
      </c>
      <c r="H445">
        <f t="shared" ref="H445:H508" si="26">-F445</f>
        <v>-4.8503845316351712E-2</v>
      </c>
    </row>
    <row r="446" spans="1:8" x14ac:dyDescent="0.2">
      <c r="A446" s="1">
        <v>45051</v>
      </c>
      <c r="B446">
        <v>171.09100000000001</v>
      </c>
      <c r="C446">
        <f t="shared" si="21"/>
        <v>4.5853647302210587E-2</v>
      </c>
      <c r="D446">
        <f t="shared" si="22"/>
        <v>2.1046580112385787E-2</v>
      </c>
      <c r="E446">
        <f t="shared" si="23"/>
        <v>3.4618543632782474E-2</v>
      </c>
      <c r="F446">
        <f t="shared" si="24"/>
        <v>4.8961666900278915E-2</v>
      </c>
      <c r="G446">
        <f t="shared" si="25"/>
        <v>-3.4618543632782474E-2</v>
      </c>
      <c r="H446">
        <f t="shared" si="26"/>
        <v>-4.8961666900278915E-2</v>
      </c>
    </row>
    <row r="447" spans="1:8" x14ac:dyDescent="0.2">
      <c r="A447" s="1">
        <v>45054</v>
      </c>
      <c r="B447">
        <v>171.02199999999999</v>
      </c>
      <c r="C447">
        <f t="shared" si="21"/>
        <v>-4.0337549836223893E-4</v>
      </c>
      <c r="D447">
        <f t="shared" si="22"/>
        <v>2.0934468515913868E-2</v>
      </c>
      <c r="E447">
        <f t="shared" si="23"/>
        <v>3.4434136466702313E-2</v>
      </c>
      <c r="F447">
        <f t="shared" si="24"/>
        <v>4.8700856326171139E-2</v>
      </c>
      <c r="G447">
        <f t="shared" si="25"/>
        <v>-3.4434136466702313E-2</v>
      </c>
      <c r="H447">
        <f t="shared" si="26"/>
        <v>-4.8700856326171139E-2</v>
      </c>
    </row>
    <row r="448" spans="1:8" x14ac:dyDescent="0.2">
      <c r="A448" s="1">
        <v>45055</v>
      </c>
      <c r="B448">
        <v>169.31899999999999</v>
      </c>
      <c r="C448">
        <f t="shared" si="21"/>
        <v>-1.0007693539645143E-2</v>
      </c>
      <c r="D448">
        <f t="shared" si="22"/>
        <v>2.0921989395863896E-2</v>
      </c>
      <c r="E448">
        <f t="shared" si="23"/>
        <v>3.4413610140826958E-2</v>
      </c>
      <c r="F448">
        <f t="shared" si="24"/>
        <v>4.867182555177299E-2</v>
      </c>
      <c r="G448">
        <f t="shared" si="25"/>
        <v>-3.4413610140826958E-2</v>
      </c>
      <c r="H448">
        <f t="shared" si="26"/>
        <v>-4.867182555177299E-2</v>
      </c>
    </row>
    <row r="449" spans="1:8" x14ac:dyDescent="0.2">
      <c r="A449" s="1">
        <v>45056</v>
      </c>
      <c r="B449">
        <v>171.07599999999999</v>
      </c>
      <c r="C449">
        <f t="shared" si="21"/>
        <v>1.0323392552492379E-2</v>
      </c>
      <c r="D449">
        <f t="shared" si="22"/>
        <v>2.0651669921655399E-2</v>
      </c>
      <c r="E449">
        <f t="shared" si="23"/>
        <v>3.3968974173239491E-2</v>
      </c>
      <c r="F449">
        <f t="shared" si="24"/>
        <v>4.8042968417636216E-2</v>
      </c>
      <c r="G449">
        <f t="shared" si="25"/>
        <v>-3.3968974173239491E-2</v>
      </c>
      <c r="H449">
        <f t="shared" si="26"/>
        <v>-4.8042968417636216E-2</v>
      </c>
    </row>
    <row r="450" spans="1:8" x14ac:dyDescent="0.2">
      <c r="A450" s="1">
        <v>45057</v>
      </c>
      <c r="B450">
        <v>171.26900000000001</v>
      </c>
      <c r="C450">
        <f t="shared" si="21"/>
        <v>1.1275176821434558E-3</v>
      </c>
      <c r="D450">
        <f t="shared" si="22"/>
        <v>2.0575113834058436E-2</v>
      </c>
      <c r="E450">
        <f t="shared" si="23"/>
        <v>3.3843050614890416E-2</v>
      </c>
      <c r="F450">
        <f t="shared" si="24"/>
        <v>4.7864872326010131E-2</v>
      </c>
      <c r="G450">
        <f t="shared" si="25"/>
        <v>-3.3843050614890416E-2</v>
      </c>
      <c r="H450">
        <f t="shared" si="26"/>
        <v>-4.7864872326010131E-2</v>
      </c>
    </row>
    <row r="451" spans="1:8" x14ac:dyDescent="0.2">
      <c r="A451" s="1">
        <v>45058</v>
      </c>
      <c r="B451">
        <v>170.34200000000001</v>
      </c>
      <c r="C451">
        <f t="shared" ref="C451:C514" si="27">LN(B451/B450)</f>
        <v>-5.4272390256269081E-3</v>
      </c>
      <c r="D451">
        <f t="shared" si="22"/>
        <v>2.0486698838648468E-2</v>
      </c>
      <c r="E451">
        <f t="shared" si="23"/>
        <v>3.369762088901343E-2</v>
      </c>
      <c r="F451">
        <f t="shared" si="24"/>
        <v>4.7659188289404825E-2</v>
      </c>
      <c r="G451">
        <f t="shared" si="25"/>
        <v>-3.369762088901343E-2</v>
      </c>
      <c r="H451">
        <f t="shared" si="26"/>
        <v>-4.7659188289404825E-2</v>
      </c>
    </row>
    <row r="452" spans="1:8" x14ac:dyDescent="0.2">
      <c r="A452" s="1">
        <v>45061</v>
      </c>
      <c r="B452">
        <v>169.84700000000001</v>
      </c>
      <c r="C452">
        <f t="shared" si="27"/>
        <v>-2.9101490603451381E-3</v>
      </c>
      <c r="D452">
        <f t="shared" si="22"/>
        <v>2.047517934389452E-2</v>
      </c>
      <c r="E452">
        <f t="shared" si="23"/>
        <v>3.3678673006286755E-2</v>
      </c>
      <c r="F452">
        <f t="shared" si="24"/>
        <v>4.763238993727395E-2</v>
      </c>
      <c r="G452">
        <f t="shared" si="25"/>
        <v>-3.3678673006286755E-2</v>
      </c>
      <c r="H452">
        <f t="shared" si="26"/>
        <v>-4.763238993727395E-2</v>
      </c>
    </row>
    <row r="453" spans="1:8" x14ac:dyDescent="0.2">
      <c r="A453" s="1">
        <v>45062</v>
      </c>
      <c r="B453">
        <v>169.84700000000001</v>
      </c>
      <c r="C453">
        <f t="shared" si="27"/>
        <v>0</v>
      </c>
      <c r="D453">
        <f t="shared" si="22"/>
        <v>2.0416503779272063E-2</v>
      </c>
      <c r="E453">
        <f t="shared" si="23"/>
        <v>3.3582160291004075E-2</v>
      </c>
      <c r="F453">
        <f t="shared" si="24"/>
        <v>4.7495890162256353E-2</v>
      </c>
      <c r="G453">
        <f t="shared" si="25"/>
        <v>-3.3582160291004075E-2</v>
      </c>
      <c r="H453">
        <f t="shared" si="26"/>
        <v>-4.7495890162256353E-2</v>
      </c>
    </row>
    <row r="454" spans="1:8" x14ac:dyDescent="0.2">
      <c r="A454" s="1">
        <v>45063</v>
      </c>
      <c r="B454">
        <v>170.459</v>
      </c>
      <c r="C454">
        <f t="shared" si="27"/>
        <v>3.5967667909067797E-3</v>
      </c>
      <c r="D454">
        <f t="shared" si="22"/>
        <v>2.0074590322915115E-2</v>
      </c>
      <c r="E454">
        <f t="shared" si="23"/>
        <v>3.3019762702211838E-2</v>
      </c>
      <c r="F454">
        <f t="shared" si="24"/>
        <v>4.6700480519954408E-2</v>
      </c>
      <c r="G454">
        <f t="shared" si="25"/>
        <v>-3.3019762702211838E-2</v>
      </c>
      <c r="H454">
        <f t="shared" si="26"/>
        <v>-4.6700480519954408E-2</v>
      </c>
    </row>
    <row r="455" spans="1:8" x14ac:dyDescent="0.2">
      <c r="A455" s="1">
        <v>45064</v>
      </c>
      <c r="B455">
        <v>172.79</v>
      </c>
      <c r="C455">
        <f t="shared" si="27"/>
        <v>1.3582185727025884E-2</v>
      </c>
      <c r="D455">
        <f t="shared" si="22"/>
        <v>2.0023673430624372E-2</v>
      </c>
      <c r="E455">
        <f t="shared" si="23"/>
        <v>3.2936011867254311E-2</v>
      </c>
      <c r="F455">
        <f t="shared" si="24"/>
        <v>4.6582030115821078E-2</v>
      </c>
      <c r="G455">
        <f t="shared" si="25"/>
        <v>-3.2936011867254311E-2</v>
      </c>
      <c r="H455">
        <f t="shared" si="26"/>
        <v>-4.6582030115821078E-2</v>
      </c>
    </row>
    <row r="456" spans="1:8" x14ac:dyDescent="0.2">
      <c r="A456" s="1">
        <v>45065</v>
      </c>
      <c r="B456">
        <v>172.898</v>
      </c>
      <c r="C456">
        <f t="shared" si="27"/>
        <v>6.2484091732330357E-4</v>
      </c>
      <c r="D456">
        <f t="shared" si="22"/>
        <v>2.0023630460424352E-2</v>
      </c>
      <c r="E456">
        <f t="shared" si="23"/>
        <v>3.293594118756496E-2</v>
      </c>
      <c r="F456">
        <f t="shared" si="24"/>
        <v>4.658193015218761E-2</v>
      </c>
      <c r="G456">
        <f t="shared" si="25"/>
        <v>-3.293594118756496E-2</v>
      </c>
      <c r="H456">
        <f t="shared" si="26"/>
        <v>-4.658193015218761E-2</v>
      </c>
    </row>
    <row r="457" spans="1:8" x14ac:dyDescent="0.2">
      <c r="A457" s="1">
        <v>45068</v>
      </c>
      <c r="B457">
        <v>171.95</v>
      </c>
      <c r="C457">
        <f t="shared" si="27"/>
        <v>-5.4980883640785407E-3</v>
      </c>
      <c r="D457">
        <f t="shared" si="22"/>
        <v>1.9879140743111499E-2</v>
      </c>
      <c r="E457">
        <f t="shared" si="23"/>
        <v>3.2698276751985722E-2</v>
      </c>
      <c r="F457">
        <f t="shared" si="24"/>
        <v>4.6245796805496099E-2</v>
      </c>
      <c r="G457">
        <f t="shared" si="25"/>
        <v>-3.2698276751985722E-2</v>
      </c>
      <c r="H457">
        <f t="shared" si="26"/>
        <v>-4.6245796805496099E-2</v>
      </c>
    </row>
    <row r="458" spans="1:8" x14ac:dyDescent="0.2">
      <c r="A458" s="1">
        <v>45069</v>
      </c>
      <c r="B458">
        <v>169.346</v>
      </c>
      <c r="C458">
        <f t="shared" si="27"/>
        <v>-1.5259777615912675E-2</v>
      </c>
      <c r="D458">
        <f t="shared" si="22"/>
        <v>1.9864041624696547E-2</v>
      </c>
      <c r="E458">
        <f t="shared" si="23"/>
        <v>3.2673440912297118E-2</v>
      </c>
      <c r="F458">
        <f t="shared" si="24"/>
        <v>4.6210671003471579E-2</v>
      </c>
      <c r="G458">
        <f t="shared" si="25"/>
        <v>-3.2673440912297118E-2</v>
      </c>
      <c r="H458">
        <f t="shared" si="26"/>
        <v>-4.6210671003471579E-2</v>
      </c>
    </row>
    <row r="459" spans="1:8" x14ac:dyDescent="0.2">
      <c r="A459" s="1">
        <v>45070</v>
      </c>
      <c r="B459">
        <v>169.619</v>
      </c>
      <c r="C459">
        <f t="shared" si="27"/>
        <v>1.6107861226253614E-3</v>
      </c>
      <c r="D459">
        <f t="shared" si="22"/>
        <v>1.986409469400581E-2</v>
      </c>
      <c r="E459">
        <f t="shared" si="23"/>
        <v>3.267352820354294E-2</v>
      </c>
      <c r="F459">
        <f t="shared" si="24"/>
        <v>4.6210794461146364E-2</v>
      </c>
      <c r="G459">
        <f t="shared" si="25"/>
        <v>-3.267352820354294E-2</v>
      </c>
      <c r="H459">
        <f t="shared" si="26"/>
        <v>-4.6210794461146364E-2</v>
      </c>
    </row>
    <row r="460" spans="1:8" x14ac:dyDescent="0.2">
      <c r="A460" s="1">
        <v>45071</v>
      </c>
      <c r="B460">
        <v>170.755</v>
      </c>
      <c r="C460">
        <f t="shared" si="27"/>
        <v>6.6750352140520315E-3</v>
      </c>
      <c r="D460">
        <f t="shared" si="22"/>
        <v>1.9818015350815021E-2</v>
      </c>
      <c r="E460">
        <f t="shared" si="23"/>
        <v>3.2597734428768024E-2</v>
      </c>
      <c r="F460">
        <f t="shared" si="24"/>
        <v>4.6103597879077272E-2</v>
      </c>
      <c r="G460">
        <f t="shared" si="25"/>
        <v>-3.2597734428768024E-2</v>
      </c>
      <c r="H460">
        <f t="shared" si="26"/>
        <v>-4.6103597879077272E-2</v>
      </c>
    </row>
    <row r="461" spans="1:8" x14ac:dyDescent="0.2">
      <c r="A461" s="1">
        <v>45072</v>
      </c>
      <c r="B461">
        <v>173.16200000000001</v>
      </c>
      <c r="C461">
        <f t="shared" si="27"/>
        <v>1.3997791919588993E-2</v>
      </c>
      <c r="D461">
        <f t="shared" si="22"/>
        <v>1.9679261422935537E-2</v>
      </c>
      <c r="E461">
        <f t="shared" si="23"/>
        <v>3.2369504527241695E-2</v>
      </c>
      <c r="F461">
        <f t="shared" si="24"/>
        <v>4.5780807973940019E-2</v>
      </c>
      <c r="G461">
        <f t="shared" si="25"/>
        <v>-3.2369504527241695E-2</v>
      </c>
      <c r="H461">
        <f t="shared" si="26"/>
        <v>-4.5780807973940019E-2</v>
      </c>
    </row>
    <row r="462" spans="1:8" x14ac:dyDescent="0.2">
      <c r="A462" s="1">
        <v>45076</v>
      </c>
      <c r="B462">
        <v>175.01</v>
      </c>
      <c r="C462">
        <f t="shared" si="27"/>
        <v>1.061554262943693E-2</v>
      </c>
      <c r="D462">
        <f t="shared" si="22"/>
        <v>1.9685554673586819E-2</v>
      </c>
      <c r="E462">
        <f t="shared" si="23"/>
        <v>3.2379856003400771E-2</v>
      </c>
      <c r="F462">
        <f t="shared" si="24"/>
        <v>4.5795448264213431E-2</v>
      </c>
      <c r="G462">
        <f t="shared" si="25"/>
        <v>-3.2379856003400771E-2</v>
      </c>
      <c r="H462">
        <f t="shared" si="26"/>
        <v>-4.5795448264213431E-2</v>
      </c>
    </row>
    <row r="463" spans="1:8" x14ac:dyDescent="0.2">
      <c r="A463" s="1">
        <v>45077</v>
      </c>
      <c r="B463">
        <v>174.96</v>
      </c>
      <c r="C463">
        <f t="shared" si="27"/>
        <v>-2.8573877955353908E-4</v>
      </c>
      <c r="D463">
        <f t="shared" si="22"/>
        <v>1.9685401626145738E-2</v>
      </c>
      <c r="E463">
        <f t="shared" si="23"/>
        <v>3.2379604262762214E-2</v>
      </c>
      <c r="F463">
        <f t="shared" si="24"/>
        <v>4.5795092222624248E-2</v>
      </c>
      <c r="G463">
        <f t="shared" si="25"/>
        <v>-3.2379604262762214E-2</v>
      </c>
      <c r="H463">
        <f t="shared" si="26"/>
        <v>-4.5795092222624248E-2</v>
      </c>
    </row>
    <row r="464" spans="1:8" x14ac:dyDescent="0.2">
      <c r="A464" s="1">
        <v>45078</v>
      </c>
      <c r="B464">
        <v>177.76400000000001</v>
      </c>
      <c r="C464">
        <f t="shared" si="27"/>
        <v>1.5899451519860715E-2</v>
      </c>
      <c r="D464">
        <f t="shared" si="22"/>
        <v>1.9683018009894106E-2</v>
      </c>
      <c r="E464">
        <f t="shared" si="23"/>
        <v>3.2375683562925459E-2</v>
      </c>
      <c r="F464">
        <f t="shared" si="24"/>
        <v>4.5789547102024736E-2</v>
      </c>
      <c r="G464">
        <f t="shared" si="25"/>
        <v>-3.2375683562925459E-2</v>
      </c>
      <c r="H464">
        <f t="shared" si="26"/>
        <v>-4.5789547102024736E-2</v>
      </c>
    </row>
    <row r="465" spans="1:8" x14ac:dyDescent="0.2">
      <c r="A465" s="1">
        <v>45079</v>
      </c>
      <c r="B465">
        <v>178.613</v>
      </c>
      <c r="C465">
        <f t="shared" si="27"/>
        <v>4.7646262589453384E-3</v>
      </c>
      <c r="D465">
        <f t="shared" si="22"/>
        <v>1.9519728861012258E-2</v>
      </c>
      <c r="E465">
        <f t="shared" si="23"/>
        <v>3.2107096814145329E-2</v>
      </c>
      <c r="F465">
        <f t="shared" si="24"/>
        <v>4.540967973766951E-2</v>
      </c>
      <c r="G465">
        <f t="shared" si="25"/>
        <v>-3.2107096814145329E-2</v>
      </c>
      <c r="H465">
        <f t="shared" si="26"/>
        <v>-4.540967973766951E-2</v>
      </c>
    </row>
    <row r="466" spans="1:8" x14ac:dyDescent="0.2">
      <c r="A466" s="1">
        <v>45082</v>
      </c>
      <c r="B466">
        <v>177.26</v>
      </c>
      <c r="C466">
        <f t="shared" si="27"/>
        <v>-7.6038728370664919E-3</v>
      </c>
      <c r="D466">
        <f t="shared" si="22"/>
        <v>1.9525187938002543E-2</v>
      </c>
      <c r="E466">
        <f t="shared" si="23"/>
        <v>3.211607619673261E-2</v>
      </c>
      <c r="F466">
        <f t="shared" si="24"/>
        <v>4.5422379449820083E-2</v>
      </c>
      <c r="G466">
        <f t="shared" si="25"/>
        <v>-3.211607619673261E-2</v>
      </c>
      <c r="H466">
        <f t="shared" si="26"/>
        <v>-4.5422379449820083E-2</v>
      </c>
    </row>
    <row r="467" spans="1:8" x14ac:dyDescent="0.2">
      <c r="A467" s="1">
        <v>45083</v>
      </c>
      <c r="B467">
        <v>176.89400000000001</v>
      </c>
      <c r="C467">
        <f t="shared" si="27"/>
        <v>-2.0668981872182589E-3</v>
      </c>
      <c r="D467">
        <f t="shared" si="22"/>
        <v>1.9497544192954505E-2</v>
      </c>
      <c r="E467">
        <f t="shared" si="23"/>
        <v>3.2070606282427819E-2</v>
      </c>
      <c r="F467">
        <f t="shared" si="24"/>
        <v>4.535807048229705E-2</v>
      </c>
      <c r="G467">
        <f t="shared" si="25"/>
        <v>-3.2070606282427819E-2</v>
      </c>
      <c r="H467">
        <f t="shared" si="26"/>
        <v>-4.535807048229705E-2</v>
      </c>
    </row>
    <row r="468" spans="1:8" x14ac:dyDescent="0.2">
      <c r="A468" s="1">
        <v>45084</v>
      </c>
      <c r="B468">
        <v>175.523</v>
      </c>
      <c r="C468">
        <f t="shared" si="27"/>
        <v>-7.7805946729013285E-3</v>
      </c>
      <c r="D468">
        <f t="shared" si="22"/>
        <v>1.9501574047193607E-2</v>
      </c>
      <c r="E468">
        <f t="shared" si="23"/>
        <v>3.2077234802789095E-2</v>
      </c>
      <c r="F468">
        <f t="shared" si="24"/>
        <v>4.536744532513888E-2</v>
      </c>
      <c r="G468">
        <f t="shared" si="25"/>
        <v>-3.2077234802789095E-2</v>
      </c>
      <c r="H468">
        <f t="shared" si="26"/>
        <v>-4.536744532513888E-2</v>
      </c>
    </row>
    <row r="469" spans="1:8" x14ac:dyDescent="0.2">
      <c r="A469" s="1">
        <v>45085</v>
      </c>
      <c r="B469">
        <v>178.23599999999999</v>
      </c>
      <c r="C469">
        <f t="shared" si="27"/>
        <v>1.5338426385263816E-2</v>
      </c>
      <c r="D469">
        <f t="shared" si="22"/>
        <v>1.9378059880842912E-2</v>
      </c>
      <c r="E469">
        <f t="shared" si="23"/>
        <v>3.1874072078287262E-2</v>
      </c>
      <c r="F469">
        <f t="shared" si="24"/>
        <v>4.5080108406835018E-2</v>
      </c>
      <c r="G469">
        <f t="shared" si="25"/>
        <v>-3.1874072078287262E-2</v>
      </c>
      <c r="H469">
        <f t="shared" si="26"/>
        <v>-4.5080108406835018E-2</v>
      </c>
    </row>
    <row r="470" spans="1:8" x14ac:dyDescent="0.2">
      <c r="A470" s="1">
        <v>45086</v>
      </c>
      <c r="B470">
        <v>178.62299999999999</v>
      </c>
      <c r="C470">
        <f t="shared" si="27"/>
        <v>2.1689247109449254E-3</v>
      </c>
      <c r="D470">
        <f t="shared" si="22"/>
        <v>1.9207846484472432E-2</v>
      </c>
      <c r="E470">
        <f t="shared" si="23"/>
        <v>3.1594095955911554E-2</v>
      </c>
      <c r="F470">
        <f t="shared" si="24"/>
        <v>4.4684132834055278E-2</v>
      </c>
      <c r="G470">
        <f t="shared" si="25"/>
        <v>-3.1594095955911554E-2</v>
      </c>
      <c r="H470">
        <f t="shared" si="26"/>
        <v>-4.4684132834055278E-2</v>
      </c>
    </row>
    <row r="471" spans="1:8" x14ac:dyDescent="0.2">
      <c r="A471" s="1">
        <v>45089</v>
      </c>
      <c r="B471">
        <v>181.416</v>
      </c>
      <c r="C471">
        <f t="shared" si="27"/>
        <v>1.5515297111644472E-2</v>
      </c>
      <c r="D471">
        <f t="shared" si="22"/>
        <v>1.9059045252688891E-2</v>
      </c>
      <c r="E471">
        <f t="shared" si="23"/>
        <v>3.1349339710117545E-2</v>
      </c>
      <c r="F471">
        <f t="shared" si="24"/>
        <v>4.4337969404840978E-2</v>
      </c>
      <c r="G471">
        <f t="shared" si="25"/>
        <v>-3.1349339710117545E-2</v>
      </c>
      <c r="H471">
        <f t="shared" si="26"/>
        <v>-4.4337969404840978E-2</v>
      </c>
    </row>
    <row r="472" spans="1:8" x14ac:dyDescent="0.2">
      <c r="A472" s="1">
        <v>45090</v>
      </c>
      <c r="B472">
        <v>180.94200000000001</v>
      </c>
      <c r="C472">
        <f t="shared" si="27"/>
        <v>-2.6161987336145581E-3</v>
      </c>
      <c r="D472">
        <f t="shared" si="22"/>
        <v>1.9057713115414453E-2</v>
      </c>
      <c r="E472">
        <f t="shared" si="23"/>
        <v>3.134714853929009E-2</v>
      </c>
      <c r="F472">
        <f t="shared" si="24"/>
        <v>4.433487039012466E-2</v>
      </c>
      <c r="G472">
        <f t="shared" si="25"/>
        <v>-3.134714853929009E-2</v>
      </c>
      <c r="H472">
        <f t="shared" si="26"/>
        <v>-4.433487039012466E-2</v>
      </c>
    </row>
    <row r="473" spans="1:8" x14ac:dyDescent="0.2">
      <c r="A473" s="1">
        <v>45091</v>
      </c>
      <c r="B473">
        <v>181.57300000000001</v>
      </c>
      <c r="C473">
        <f t="shared" si="27"/>
        <v>3.4812387749941971E-3</v>
      </c>
      <c r="D473">
        <f t="shared" si="22"/>
        <v>1.9021642659017186E-2</v>
      </c>
      <c r="E473">
        <f t="shared" si="23"/>
        <v>3.1287817918259249E-2</v>
      </c>
      <c r="F473">
        <f t="shared" si="24"/>
        <v>4.4250957960569194E-2</v>
      </c>
      <c r="G473">
        <f t="shared" si="25"/>
        <v>-3.1287817918259249E-2</v>
      </c>
      <c r="H473">
        <f t="shared" si="26"/>
        <v>-4.4250957960569194E-2</v>
      </c>
    </row>
    <row r="474" spans="1:8" x14ac:dyDescent="0.2">
      <c r="A474" s="1">
        <v>45092</v>
      </c>
      <c r="B474">
        <v>183.607</v>
      </c>
      <c r="C474">
        <f t="shared" si="27"/>
        <v>1.1139827121889672E-2</v>
      </c>
      <c r="D474">
        <f t="shared" si="22"/>
        <v>1.8846553331837965E-2</v>
      </c>
      <c r="E474">
        <f t="shared" si="23"/>
        <v>3.0999821603408018E-2</v>
      </c>
      <c r="F474">
        <f t="shared" si="24"/>
        <v>4.3843639276518576E-2</v>
      </c>
      <c r="G474">
        <f t="shared" si="25"/>
        <v>-3.0999821603408018E-2</v>
      </c>
      <c r="H474">
        <f t="shared" si="26"/>
        <v>-4.3843639276518576E-2</v>
      </c>
    </row>
    <row r="475" spans="1:8" x14ac:dyDescent="0.2">
      <c r="A475" s="1">
        <v>45093</v>
      </c>
      <c r="B475">
        <v>182.53100000000001</v>
      </c>
      <c r="C475">
        <f t="shared" si="27"/>
        <v>-5.8775822100979947E-3</v>
      </c>
      <c r="D475">
        <f t="shared" si="22"/>
        <v>1.8841486646847434E-2</v>
      </c>
      <c r="E475">
        <f t="shared" si="23"/>
        <v>3.0991487648224722E-2</v>
      </c>
      <c r="F475">
        <f t="shared" si="24"/>
        <v>4.3831852404662419E-2</v>
      </c>
      <c r="G475">
        <f t="shared" si="25"/>
        <v>-3.0991487648224722E-2</v>
      </c>
      <c r="H475">
        <f t="shared" si="26"/>
        <v>-4.3831852404662419E-2</v>
      </c>
    </row>
    <row r="476" spans="1:8" x14ac:dyDescent="0.2">
      <c r="A476" s="1">
        <v>45097</v>
      </c>
      <c r="B476">
        <v>182.62</v>
      </c>
      <c r="C476">
        <f t="shared" si="27"/>
        <v>4.8746957703745041E-4</v>
      </c>
      <c r="D476">
        <f t="shared" si="22"/>
        <v>1.8739391714283127E-2</v>
      </c>
      <c r="E476">
        <f t="shared" si="23"/>
        <v>3.0823556428102954E-2</v>
      </c>
      <c r="F476">
        <f t="shared" si="24"/>
        <v>4.3594344075341102E-2</v>
      </c>
      <c r="G476">
        <f t="shared" si="25"/>
        <v>-3.0823556428102954E-2</v>
      </c>
      <c r="H476">
        <f t="shared" si="26"/>
        <v>-4.3594344075341102E-2</v>
      </c>
    </row>
    <row r="477" spans="1:8" x14ac:dyDescent="0.2">
      <c r="A477" s="1">
        <v>45098</v>
      </c>
      <c r="B477">
        <v>181.583</v>
      </c>
      <c r="C477">
        <f t="shared" si="27"/>
        <v>-5.6946417377109811E-3</v>
      </c>
      <c r="D477">
        <f t="shared" si="22"/>
        <v>1.8741768498288642E-2</v>
      </c>
      <c r="E477">
        <f t="shared" si="23"/>
        <v>3.0827465889894906E-2</v>
      </c>
      <c r="F477">
        <f t="shared" si="24"/>
        <v>4.3599873301759386E-2</v>
      </c>
      <c r="G477">
        <f t="shared" si="25"/>
        <v>-3.0827465889894906E-2</v>
      </c>
      <c r="H477">
        <f t="shared" si="26"/>
        <v>-4.3599873301759386E-2</v>
      </c>
    </row>
    <row r="478" spans="1:8" x14ac:dyDescent="0.2">
      <c r="A478" s="1">
        <v>45099</v>
      </c>
      <c r="B478">
        <v>184.584</v>
      </c>
      <c r="C478">
        <f t="shared" si="27"/>
        <v>1.6391794972379234E-2</v>
      </c>
      <c r="D478">
        <f t="shared" si="22"/>
        <v>1.8722993809212454E-2</v>
      </c>
      <c r="E478">
        <f t="shared" si="23"/>
        <v>3.0796584274473054E-2</v>
      </c>
      <c r="F478">
        <f t="shared" si="24"/>
        <v>4.3556196843741214E-2</v>
      </c>
      <c r="G478">
        <f t="shared" si="25"/>
        <v>-3.0796584274473054E-2</v>
      </c>
      <c r="H478">
        <f t="shared" si="26"/>
        <v>-4.3556196843741214E-2</v>
      </c>
    </row>
    <row r="479" spans="1:8" x14ac:dyDescent="0.2">
      <c r="A479" s="1">
        <v>45100</v>
      </c>
      <c r="B479">
        <v>184.26900000000001</v>
      </c>
      <c r="C479">
        <f t="shared" si="27"/>
        <v>-1.7079979101592949E-3</v>
      </c>
      <c r="D479">
        <f t="shared" si="22"/>
        <v>1.8666874205008729E-2</v>
      </c>
      <c r="E479">
        <f t="shared" si="23"/>
        <v>3.0704275739955475E-2</v>
      </c>
      <c r="F479">
        <f t="shared" si="24"/>
        <v>4.3425643121809868E-2</v>
      </c>
      <c r="G479">
        <f t="shared" si="25"/>
        <v>-3.0704275739955475E-2</v>
      </c>
      <c r="H479">
        <f t="shared" si="26"/>
        <v>-4.3425643121809868E-2</v>
      </c>
    </row>
    <row r="480" spans="1:8" x14ac:dyDescent="0.2">
      <c r="A480" s="1">
        <v>45103</v>
      </c>
      <c r="B480">
        <v>182.87799999999999</v>
      </c>
      <c r="C480">
        <f t="shared" si="27"/>
        <v>-7.577382658985974E-3</v>
      </c>
      <c r="D480">
        <f t="shared" si="22"/>
        <v>1.8674862612474506E-2</v>
      </c>
      <c r="E480">
        <f t="shared" si="23"/>
        <v>3.0717415500949124E-2</v>
      </c>
      <c r="F480">
        <f t="shared" si="24"/>
        <v>4.3444226936534845E-2</v>
      </c>
      <c r="G480">
        <f t="shared" si="25"/>
        <v>-3.0717415500949124E-2</v>
      </c>
      <c r="H480">
        <f t="shared" si="26"/>
        <v>-4.3444226936534845E-2</v>
      </c>
    </row>
    <row r="481" spans="1:8" x14ac:dyDescent="0.2">
      <c r="A481" s="1">
        <v>45104</v>
      </c>
      <c r="B481">
        <v>185.631</v>
      </c>
      <c r="C481">
        <f t="shared" si="27"/>
        <v>1.4941568413185681E-2</v>
      </c>
      <c r="D481">
        <f t="shared" si="22"/>
        <v>1.858882330188073E-2</v>
      </c>
      <c r="E481">
        <f t="shared" si="23"/>
        <v>3.0575893428858546E-2</v>
      </c>
      <c r="F481">
        <f t="shared" si="24"/>
        <v>4.324406956925108E-2</v>
      </c>
      <c r="G481">
        <f t="shared" si="25"/>
        <v>-3.0575893428858546E-2</v>
      </c>
      <c r="H481">
        <f t="shared" si="26"/>
        <v>-4.324406956925108E-2</v>
      </c>
    </row>
    <row r="482" spans="1:8" x14ac:dyDescent="0.2">
      <c r="A482" s="1">
        <v>45105</v>
      </c>
      <c r="B482">
        <v>186.80500000000001</v>
      </c>
      <c r="C482">
        <f t="shared" si="27"/>
        <v>6.3044597649096635E-3</v>
      </c>
      <c r="D482">
        <f t="shared" si="22"/>
        <v>1.8576864742328055E-2</v>
      </c>
      <c r="E482">
        <f t="shared" si="23"/>
        <v>3.0556223348805214E-2</v>
      </c>
      <c r="F482">
        <f t="shared" si="24"/>
        <v>4.3216249799659122E-2</v>
      </c>
      <c r="G482">
        <f t="shared" si="25"/>
        <v>-3.0556223348805214E-2</v>
      </c>
      <c r="H482">
        <f t="shared" si="26"/>
        <v>-4.3216249799659122E-2</v>
      </c>
    </row>
    <row r="483" spans="1:8" x14ac:dyDescent="0.2">
      <c r="A483" s="1">
        <v>45106</v>
      </c>
      <c r="B483">
        <v>187.14</v>
      </c>
      <c r="C483">
        <f t="shared" si="27"/>
        <v>1.7917078159542799E-3</v>
      </c>
      <c r="D483">
        <f t="shared" si="22"/>
        <v>1.8535839441167413E-2</v>
      </c>
      <c r="E483">
        <f t="shared" si="23"/>
        <v>3.0488742733394358E-2</v>
      </c>
      <c r="F483">
        <f t="shared" si="24"/>
        <v>4.312081067752218E-2</v>
      </c>
      <c r="G483">
        <f t="shared" si="25"/>
        <v>-3.0488742733394358E-2</v>
      </c>
      <c r="H483">
        <f t="shared" si="26"/>
        <v>-4.312081067752218E-2</v>
      </c>
    </row>
    <row r="484" spans="1:8" x14ac:dyDescent="0.2">
      <c r="A484" s="1">
        <v>45107</v>
      </c>
      <c r="B484">
        <v>191.46299999999999</v>
      </c>
      <c r="C484">
        <f t="shared" si="27"/>
        <v>2.28375786169389E-2</v>
      </c>
      <c r="D484">
        <f t="shared" si="22"/>
        <v>1.8562495750456251E-2</v>
      </c>
      <c r="E484">
        <f t="shared" si="23"/>
        <v>3.0532588460409241E-2</v>
      </c>
      <c r="F484">
        <f t="shared" si="24"/>
        <v>4.3182822525966037E-2</v>
      </c>
      <c r="G484">
        <f t="shared" si="25"/>
        <v>-3.0532588460409241E-2</v>
      </c>
      <c r="H484">
        <f t="shared" si="26"/>
        <v>-4.3182822525966037E-2</v>
      </c>
    </row>
    <row r="485" spans="1:8" x14ac:dyDescent="0.2">
      <c r="A485" s="1">
        <v>45110</v>
      </c>
      <c r="B485">
        <v>189.97300000000001</v>
      </c>
      <c r="C485">
        <f t="shared" si="27"/>
        <v>-7.8126216652871124E-3</v>
      </c>
      <c r="D485">
        <f t="shared" si="22"/>
        <v>1.8538558987305182E-2</v>
      </c>
      <c r="E485">
        <f t="shared" si="23"/>
        <v>3.0493215988722729E-2</v>
      </c>
      <c r="F485">
        <f t="shared" si="24"/>
        <v>4.3127137287898132E-2</v>
      </c>
      <c r="G485">
        <f t="shared" si="25"/>
        <v>-3.0493215988722729E-2</v>
      </c>
      <c r="H485">
        <f t="shared" si="26"/>
        <v>-4.3127137287898132E-2</v>
      </c>
    </row>
    <row r="486" spans="1:8" x14ac:dyDescent="0.2">
      <c r="A486" s="1">
        <v>45112</v>
      </c>
      <c r="B486">
        <v>188.85900000000001</v>
      </c>
      <c r="C486">
        <f t="shared" si="27"/>
        <v>-5.8812519059732969E-3</v>
      </c>
      <c r="D486">
        <f t="shared" si="22"/>
        <v>1.8536469863688343E-2</v>
      </c>
      <c r="E486">
        <f t="shared" si="23"/>
        <v>3.0489779686164419E-2</v>
      </c>
      <c r="F486">
        <f t="shared" si="24"/>
        <v>4.3122277259613491E-2</v>
      </c>
      <c r="G486">
        <f t="shared" si="25"/>
        <v>-3.0489779686164419E-2</v>
      </c>
      <c r="H486">
        <f t="shared" si="26"/>
        <v>-4.3122277259613491E-2</v>
      </c>
    </row>
    <row r="487" spans="1:8" x14ac:dyDescent="0.2">
      <c r="A487" s="1">
        <v>45113</v>
      </c>
      <c r="B487">
        <v>189.33199999999999</v>
      </c>
      <c r="C487">
        <f t="shared" si="27"/>
        <v>2.5013828812781211E-3</v>
      </c>
      <c r="D487">
        <f t="shared" si="22"/>
        <v>1.8481366727265417E-2</v>
      </c>
      <c r="E487">
        <f t="shared" si="23"/>
        <v>3.039914309236277E-2</v>
      </c>
      <c r="F487">
        <f t="shared" si="24"/>
        <v>4.2994088195343033E-2</v>
      </c>
      <c r="G487">
        <f t="shared" si="25"/>
        <v>-3.039914309236277E-2</v>
      </c>
      <c r="H487">
        <f t="shared" si="26"/>
        <v>-4.2994088195343033E-2</v>
      </c>
    </row>
    <row r="488" spans="1:8" x14ac:dyDescent="0.2">
      <c r="A488" s="1">
        <v>45114</v>
      </c>
      <c r="B488">
        <v>188.21700000000001</v>
      </c>
      <c r="C488">
        <f t="shared" si="27"/>
        <v>-5.9065352661329075E-3</v>
      </c>
      <c r="D488">
        <f t="shared" si="22"/>
        <v>1.8485259364759588E-2</v>
      </c>
      <c r="E488">
        <f t="shared" si="23"/>
        <v>3.0405545911263463E-2</v>
      </c>
      <c r="F488">
        <f t="shared" si="24"/>
        <v>4.3003143824302009E-2</v>
      </c>
      <c r="G488">
        <f t="shared" si="25"/>
        <v>-3.0405545911263463E-2</v>
      </c>
      <c r="H488">
        <f t="shared" si="26"/>
        <v>-4.3003143824302009E-2</v>
      </c>
    </row>
    <row r="489" spans="1:8" x14ac:dyDescent="0.2">
      <c r="A489" s="1">
        <v>45117</v>
      </c>
      <c r="B489">
        <v>186.173</v>
      </c>
      <c r="C489">
        <f t="shared" si="27"/>
        <v>-1.0919203550488562E-2</v>
      </c>
      <c r="D489">
        <f t="shared" si="22"/>
        <v>1.8473257540829281E-2</v>
      </c>
      <c r="E489">
        <f t="shared" si="23"/>
        <v>3.0385804667641663E-2</v>
      </c>
      <c r="F489">
        <f t="shared" si="24"/>
        <v>4.2975223406717125E-2</v>
      </c>
      <c r="G489">
        <f t="shared" si="25"/>
        <v>-3.0385804667641663E-2</v>
      </c>
      <c r="H489">
        <f t="shared" si="26"/>
        <v>-4.2975223406717125E-2</v>
      </c>
    </row>
    <row r="490" spans="1:8" x14ac:dyDescent="0.2">
      <c r="A490" s="1">
        <v>45118</v>
      </c>
      <c r="B490">
        <v>185.65100000000001</v>
      </c>
      <c r="C490">
        <f t="shared" si="27"/>
        <v>-2.8077818695848088E-3</v>
      </c>
      <c r="D490">
        <f t="shared" si="22"/>
        <v>1.8471301327800099E-2</v>
      </c>
      <c r="E490">
        <f t="shared" si="23"/>
        <v>3.0382586983545522E-2</v>
      </c>
      <c r="F490">
        <f t="shared" si="24"/>
        <v>4.2970672574695522E-2</v>
      </c>
      <c r="G490">
        <f t="shared" si="25"/>
        <v>-3.0382586983545522E-2</v>
      </c>
      <c r="H490">
        <f t="shared" si="26"/>
        <v>-4.2970672574695522E-2</v>
      </c>
    </row>
    <row r="491" spans="1:8" x14ac:dyDescent="0.2">
      <c r="A491" s="1">
        <v>45119</v>
      </c>
      <c r="B491">
        <v>187.32</v>
      </c>
      <c r="C491">
        <f t="shared" si="27"/>
        <v>8.9498172268235796E-3</v>
      </c>
      <c r="D491">
        <f t="shared" si="22"/>
        <v>1.8476649886717784E-2</v>
      </c>
      <c r="E491">
        <f t="shared" si="23"/>
        <v>3.0391384580080241E-2</v>
      </c>
      <c r="F491">
        <f t="shared" si="24"/>
        <v>4.2983115183362855E-2</v>
      </c>
      <c r="G491">
        <f t="shared" si="25"/>
        <v>-3.0391384580080241E-2</v>
      </c>
      <c r="H491">
        <f t="shared" si="26"/>
        <v>-4.2983115183362855E-2</v>
      </c>
    </row>
    <row r="492" spans="1:8" x14ac:dyDescent="0.2">
      <c r="A492" s="1">
        <v>45120</v>
      </c>
      <c r="B492">
        <v>188.08</v>
      </c>
      <c r="C492">
        <f t="shared" si="27"/>
        <v>4.0490199164732767E-3</v>
      </c>
      <c r="D492">
        <f t="shared" si="22"/>
        <v>1.8437430982861411E-2</v>
      </c>
      <c r="E492">
        <f t="shared" si="23"/>
        <v>3.0326875223827026E-2</v>
      </c>
      <c r="F492">
        <f t="shared" si="24"/>
        <v>4.2891878369754374E-2</v>
      </c>
      <c r="G492">
        <f t="shared" si="25"/>
        <v>-3.0326875223827026E-2</v>
      </c>
      <c r="H492">
        <f t="shared" si="26"/>
        <v>-4.2891878369754374E-2</v>
      </c>
    </row>
    <row r="493" spans="1:8" x14ac:dyDescent="0.2">
      <c r="A493" s="1">
        <v>45121</v>
      </c>
      <c r="B493">
        <v>188.227</v>
      </c>
      <c r="C493">
        <f t="shared" si="27"/>
        <v>7.8127702900715554E-4</v>
      </c>
      <c r="D493">
        <f t="shared" si="22"/>
        <v>1.8425658039380125E-2</v>
      </c>
      <c r="E493">
        <f t="shared" si="23"/>
        <v>3.0307510455041937E-2</v>
      </c>
      <c r="F493">
        <f t="shared" si="24"/>
        <v>4.2864490407715478E-2</v>
      </c>
      <c r="G493">
        <f t="shared" si="25"/>
        <v>-3.0307510455041937E-2</v>
      </c>
      <c r="H493">
        <f t="shared" si="26"/>
        <v>-4.2864490407715478E-2</v>
      </c>
    </row>
    <row r="494" spans="1:8" x14ac:dyDescent="0.2">
      <c r="A494" s="1">
        <v>45124</v>
      </c>
      <c r="B494">
        <v>191.483</v>
      </c>
      <c r="C494">
        <f t="shared" si="27"/>
        <v>1.7150350573384068E-2</v>
      </c>
      <c r="D494">
        <f t="shared" si="22"/>
        <v>1.8401529029661731E-2</v>
      </c>
      <c r="E494">
        <f t="shared" si="23"/>
        <v>3.0267821765891892E-2</v>
      </c>
      <c r="F494">
        <f t="shared" si="24"/>
        <v>4.2808357937254383E-2</v>
      </c>
      <c r="G494">
        <f t="shared" si="25"/>
        <v>-3.0267821765891892E-2</v>
      </c>
      <c r="H494">
        <f t="shared" si="26"/>
        <v>-4.2808357937254383E-2</v>
      </c>
    </row>
    <row r="495" spans="1:8" x14ac:dyDescent="0.2">
      <c r="A495" s="1">
        <v>45125</v>
      </c>
      <c r="B495">
        <v>191.227</v>
      </c>
      <c r="C495">
        <f t="shared" si="27"/>
        <v>-1.3378277974552065E-3</v>
      </c>
      <c r="D495">
        <f t="shared" si="22"/>
        <v>1.833225777232584E-2</v>
      </c>
      <c r="E495">
        <f t="shared" si="23"/>
        <v>3.015388068701946E-2</v>
      </c>
      <c r="F495">
        <f t="shared" si="24"/>
        <v>4.2647208895018898E-2</v>
      </c>
      <c r="G495">
        <f t="shared" si="25"/>
        <v>-3.015388068701946E-2</v>
      </c>
      <c r="H495">
        <f t="shared" si="26"/>
        <v>-4.2647208895018898E-2</v>
      </c>
    </row>
    <row r="496" spans="1:8" x14ac:dyDescent="0.2">
      <c r="A496" s="1">
        <v>45126</v>
      </c>
      <c r="B496">
        <v>192.58099999999999</v>
      </c>
      <c r="C496">
        <f t="shared" si="27"/>
        <v>7.055640409117543E-3</v>
      </c>
      <c r="D496">
        <f t="shared" si="22"/>
        <v>1.8319380079909364E-2</v>
      </c>
      <c r="E496">
        <f t="shared" si="23"/>
        <v>3.0132698767941456E-2</v>
      </c>
      <c r="F496">
        <f t="shared" si="24"/>
        <v>4.2617250902643275E-2</v>
      </c>
      <c r="G496">
        <f t="shared" si="25"/>
        <v>-3.0132698767941456E-2</v>
      </c>
      <c r="H496">
        <f t="shared" si="26"/>
        <v>-4.2617250902643275E-2</v>
      </c>
    </row>
    <row r="497" spans="1:8" x14ac:dyDescent="0.2">
      <c r="A497" s="1">
        <v>45127</v>
      </c>
      <c r="B497">
        <v>190.63499999999999</v>
      </c>
      <c r="C497">
        <f t="shared" si="27"/>
        <v>-1.015623944372428E-2</v>
      </c>
      <c r="D497">
        <f t="shared" si="22"/>
        <v>1.8311282366948924E-2</v>
      </c>
      <c r="E497">
        <f t="shared" si="23"/>
        <v>3.0119379215408464E-2</v>
      </c>
      <c r="F497">
        <f t="shared" si="24"/>
        <v>4.2598412805313166E-2</v>
      </c>
      <c r="G497">
        <f t="shared" si="25"/>
        <v>-3.0119379215408464E-2</v>
      </c>
      <c r="H497">
        <f t="shared" si="26"/>
        <v>-4.2598412805313166E-2</v>
      </c>
    </row>
    <row r="498" spans="1:8" x14ac:dyDescent="0.2">
      <c r="A498" s="1">
        <v>45128</v>
      </c>
      <c r="B498">
        <v>189.46100000000001</v>
      </c>
      <c r="C498">
        <f t="shared" si="27"/>
        <v>-6.1774064097061473E-3</v>
      </c>
      <c r="D498">
        <f t="shared" si="22"/>
        <v>1.8307797745728854E-2</v>
      </c>
      <c r="E498">
        <f t="shared" si="23"/>
        <v>3.0113647523556081E-2</v>
      </c>
      <c r="F498">
        <f t="shared" si="24"/>
        <v>4.259030636414602E-2</v>
      </c>
      <c r="G498">
        <f t="shared" si="25"/>
        <v>-3.0113647523556081E-2</v>
      </c>
      <c r="H498">
        <f t="shared" si="26"/>
        <v>-4.259030636414602E-2</v>
      </c>
    </row>
    <row r="499" spans="1:8" x14ac:dyDescent="0.2">
      <c r="A499" s="1">
        <v>45131</v>
      </c>
      <c r="B499">
        <v>190.261</v>
      </c>
      <c r="C499">
        <f t="shared" si="27"/>
        <v>4.2136151375820339E-3</v>
      </c>
      <c r="D499">
        <f t="shared" si="22"/>
        <v>1.8301351753912305E-2</v>
      </c>
      <c r="E499">
        <f t="shared" si="23"/>
        <v>3.0103044810537327E-2</v>
      </c>
      <c r="F499">
        <f t="shared" si="24"/>
        <v>4.2575310744787501E-2</v>
      </c>
      <c r="G499">
        <f t="shared" si="25"/>
        <v>-3.0103044810537327E-2</v>
      </c>
      <c r="H499">
        <f t="shared" si="26"/>
        <v>-4.2575310744787501E-2</v>
      </c>
    </row>
    <row r="500" spans="1:8" x14ac:dyDescent="0.2">
      <c r="A500" s="1">
        <v>45132</v>
      </c>
      <c r="B500">
        <v>191.12100000000001</v>
      </c>
      <c r="C500">
        <f t="shared" si="27"/>
        <v>4.5099215886223957E-3</v>
      </c>
      <c r="D500">
        <f t="shared" si="22"/>
        <v>1.8292102979258047E-2</v>
      </c>
      <c r="E500">
        <f t="shared" si="23"/>
        <v>3.0087831930002418E-2</v>
      </c>
      <c r="F500">
        <f t="shared" si="24"/>
        <v>4.2553794877533087E-2</v>
      </c>
      <c r="G500">
        <f t="shared" si="25"/>
        <v>-3.0087831930002418E-2</v>
      </c>
      <c r="H500">
        <f t="shared" si="26"/>
        <v>-4.2553794877533087E-2</v>
      </c>
    </row>
    <row r="501" spans="1:8" x14ac:dyDescent="0.2">
      <c r="A501" s="1">
        <v>45133</v>
      </c>
      <c r="B501">
        <v>191.988</v>
      </c>
      <c r="C501">
        <f t="shared" si="27"/>
        <v>4.5261347559334133E-3</v>
      </c>
      <c r="D501">
        <f t="shared" si="22"/>
        <v>1.8175612507362632E-2</v>
      </c>
      <c r="E501">
        <f t="shared" si="23"/>
        <v>2.9896222154799954E-2</v>
      </c>
      <c r="F501">
        <f t="shared" si="24"/>
        <v>4.2282797515893172E-2</v>
      </c>
      <c r="G501">
        <f t="shared" si="25"/>
        <v>-2.9896222154799954E-2</v>
      </c>
      <c r="H501">
        <f t="shared" si="26"/>
        <v>-4.2282797515893172E-2</v>
      </c>
    </row>
    <row r="502" spans="1:8" x14ac:dyDescent="0.2">
      <c r="A502" s="1">
        <v>45134</v>
      </c>
      <c r="B502">
        <v>190.72300000000001</v>
      </c>
      <c r="C502">
        <f t="shared" si="27"/>
        <v>-6.6107564555313953E-3</v>
      </c>
      <c r="D502">
        <f t="shared" si="22"/>
        <v>1.8180987466876374E-2</v>
      </c>
      <c r="E502">
        <f t="shared" si="23"/>
        <v>2.990506317645085E-2</v>
      </c>
      <c r="F502">
        <f t="shared" si="24"/>
        <v>4.2295301541531022E-2</v>
      </c>
      <c r="G502">
        <f t="shared" si="25"/>
        <v>-2.990506317645085E-2</v>
      </c>
      <c r="H502">
        <f t="shared" si="26"/>
        <v>-4.2295301541531022E-2</v>
      </c>
    </row>
    <row r="503" spans="1:8" x14ac:dyDescent="0.2">
      <c r="A503" s="1">
        <v>45135</v>
      </c>
      <c r="B503">
        <v>193.30099999999999</v>
      </c>
      <c r="C503">
        <f t="shared" si="27"/>
        <v>1.3426445887602242E-2</v>
      </c>
      <c r="D503">
        <f t="shared" si="22"/>
        <v>1.8088995508307015E-2</v>
      </c>
      <c r="E503">
        <f t="shared" si="23"/>
        <v>2.9753749869747669E-2</v>
      </c>
      <c r="F503">
        <f t="shared" si="24"/>
        <v>4.208129624428434E-2</v>
      </c>
      <c r="G503">
        <f t="shared" si="25"/>
        <v>-2.9753749869747669E-2</v>
      </c>
      <c r="H503">
        <f t="shared" si="26"/>
        <v>-4.208129624428434E-2</v>
      </c>
    </row>
    <row r="504" spans="1:8" x14ac:dyDescent="0.2">
      <c r="A504" s="1">
        <v>45138</v>
      </c>
      <c r="B504">
        <v>193.91300000000001</v>
      </c>
      <c r="C504">
        <f t="shared" si="27"/>
        <v>3.1610453630423439E-3</v>
      </c>
      <c r="D504">
        <f t="shared" si="22"/>
        <v>1.8084233314848427E-2</v>
      </c>
      <c r="E504">
        <f t="shared" si="23"/>
        <v>2.9745916758565069E-2</v>
      </c>
      <c r="F504">
        <f t="shared" si="24"/>
        <v>4.2070217725656181E-2</v>
      </c>
      <c r="G504">
        <f t="shared" si="25"/>
        <v>-2.9745916758565069E-2</v>
      </c>
      <c r="H504">
        <f t="shared" si="26"/>
        <v>-4.2070217725656181E-2</v>
      </c>
    </row>
    <row r="505" spans="1:8" x14ac:dyDescent="0.2">
      <c r="A505" s="1">
        <v>45139</v>
      </c>
      <c r="B505">
        <v>193.077</v>
      </c>
      <c r="C505">
        <f t="shared" si="27"/>
        <v>-4.3205317991003855E-3</v>
      </c>
      <c r="D505">
        <f t="shared" si="22"/>
        <v>1.807571087640944E-2</v>
      </c>
      <c r="E505">
        <f t="shared" si="23"/>
        <v>2.9731898594788229E-2</v>
      </c>
      <c r="F505">
        <f t="shared" si="24"/>
        <v>4.2050391569112E-2</v>
      </c>
      <c r="G505">
        <f t="shared" si="25"/>
        <v>-2.9731898594788229E-2</v>
      </c>
      <c r="H505">
        <f t="shared" si="26"/>
        <v>-4.2050391569112E-2</v>
      </c>
    </row>
    <row r="506" spans="1:8" x14ac:dyDescent="0.2">
      <c r="A506" s="1">
        <v>45140</v>
      </c>
      <c r="B506">
        <v>190.09299999999999</v>
      </c>
      <c r="C506">
        <f t="shared" si="27"/>
        <v>-1.557564697905937E-2</v>
      </c>
      <c r="D506">
        <f t="shared" si="22"/>
        <v>1.7954157116910986E-2</v>
      </c>
      <c r="E506">
        <f t="shared" si="23"/>
        <v>2.9531960452607611E-2</v>
      </c>
      <c r="F506">
        <f t="shared" si="24"/>
        <v>4.1767615239121106E-2</v>
      </c>
      <c r="G506">
        <f t="shared" si="25"/>
        <v>-2.9531960452607611E-2</v>
      </c>
      <c r="H506">
        <f t="shared" si="26"/>
        <v>-4.1767615239121106E-2</v>
      </c>
    </row>
    <row r="507" spans="1:8" x14ac:dyDescent="0.2">
      <c r="A507" s="1">
        <v>45141</v>
      </c>
      <c r="B507">
        <v>188.7</v>
      </c>
      <c r="C507">
        <f t="shared" si="27"/>
        <v>-7.3549737170241387E-3</v>
      </c>
      <c r="D507">
        <f t="shared" si="22"/>
        <v>1.7960519998363657E-2</v>
      </c>
      <c r="E507">
        <f t="shared" si="23"/>
        <v>2.9542426461242898E-2</v>
      </c>
      <c r="F507">
        <f t="shared" si="24"/>
        <v>4.1782417514861295E-2</v>
      </c>
      <c r="G507">
        <f t="shared" si="25"/>
        <v>-2.9542426461242898E-2</v>
      </c>
      <c r="H507">
        <f t="shared" si="26"/>
        <v>-4.1782417514861295E-2</v>
      </c>
    </row>
    <row r="508" spans="1:8" x14ac:dyDescent="0.2">
      <c r="A508" s="1">
        <v>45142</v>
      </c>
      <c r="B508">
        <v>179.64099999999999</v>
      </c>
      <c r="C508">
        <f t="shared" si="27"/>
        <v>-4.9198037481527727E-2</v>
      </c>
      <c r="D508">
        <f t="shared" si="22"/>
        <v>1.8234147211295303E-2</v>
      </c>
      <c r="E508">
        <f t="shared" si="23"/>
        <v>2.9992503174866139E-2</v>
      </c>
      <c r="F508">
        <f t="shared" si="24"/>
        <v>4.2418969599944553E-2</v>
      </c>
      <c r="G508">
        <f t="shared" si="25"/>
        <v>-2.9992503174866139E-2</v>
      </c>
      <c r="H508">
        <f t="shared" si="26"/>
        <v>-4.2418969599944553E-2</v>
      </c>
    </row>
    <row r="509" spans="1:8" x14ac:dyDescent="0.2">
      <c r="A509" s="1">
        <v>45145</v>
      </c>
      <c r="B509">
        <v>176.541</v>
      </c>
      <c r="C509">
        <f t="shared" si="27"/>
        <v>-1.7407270878278685E-2</v>
      </c>
      <c r="D509">
        <f t="shared" ref="D509:D572" si="28">_xlfn.STDEV.S(C260:C509)</f>
        <v>1.8267748419489492E-2</v>
      </c>
      <c r="E509">
        <f t="shared" ref="E509:E572" si="29">_xlfn.NORM.S.INV(0.95)*D509</f>
        <v>3.0047772244034304E-2</v>
      </c>
      <c r="F509">
        <f t="shared" ref="F509:F572" si="30">_xlfn.NORM.S.INV(0.99)*D509</f>
        <v>4.2497137699192306E-2</v>
      </c>
      <c r="G509">
        <f t="shared" ref="G509:G572" si="31">-E509</f>
        <v>-3.0047772244034304E-2</v>
      </c>
      <c r="H509">
        <f t="shared" ref="H509:H572" si="32">-F509</f>
        <v>-4.2497137699192306E-2</v>
      </c>
    </row>
    <row r="510" spans="1:8" x14ac:dyDescent="0.2">
      <c r="A510" s="1">
        <v>45146</v>
      </c>
      <c r="B510">
        <v>177.47800000000001</v>
      </c>
      <c r="C510">
        <f t="shared" si="27"/>
        <v>5.293513557150342E-3</v>
      </c>
      <c r="D510">
        <f t="shared" si="28"/>
        <v>1.8270430161889058E-2</v>
      </c>
      <c r="E510">
        <f t="shared" si="29"/>
        <v>3.005218331774678E-2</v>
      </c>
      <c r="F510">
        <f t="shared" si="30"/>
        <v>4.2503376364922268E-2</v>
      </c>
      <c r="G510">
        <f t="shared" si="31"/>
        <v>-3.005218331774678E-2</v>
      </c>
      <c r="H510">
        <f t="shared" si="32"/>
        <v>-4.2503376364922268E-2</v>
      </c>
    </row>
    <row r="511" spans="1:8" x14ac:dyDescent="0.2">
      <c r="A511" s="1">
        <v>45147</v>
      </c>
      <c r="B511">
        <v>175.88900000000001</v>
      </c>
      <c r="C511">
        <f t="shared" si="27"/>
        <v>-8.9935433153156066E-3</v>
      </c>
      <c r="D511">
        <f t="shared" si="28"/>
        <v>1.8208009699142293E-2</v>
      </c>
      <c r="E511">
        <f t="shared" si="29"/>
        <v>2.9949510793201774E-2</v>
      </c>
      <c r="F511">
        <f t="shared" si="30"/>
        <v>4.2358164654114683E-2</v>
      </c>
      <c r="G511">
        <f t="shared" si="31"/>
        <v>-2.9949510793201774E-2</v>
      </c>
      <c r="H511">
        <f t="shared" si="32"/>
        <v>-4.2358164654114683E-2</v>
      </c>
    </row>
    <row r="512" spans="1:8" x14ac:dyDescent="0.2">
      <c r="A512" s="1">
        <v>45148</v>
      </c>
      <c r="B512">
        <v>175.672</v>
      </c>
      <c r="C512">
        <f t="shared" si="27"/>
        <v>-1.2344943128423441E-3</v>
      </c>
      <c r="D512">
        <f t="shared" si="28"/>
        <v>1.8205844757925624E-2</v>
      </c>
      <c r="E512">
        <f t="shared" si="29"/>
        <v>2.9945949781789397E-2</v>
      </c>
      <c r="F512">
        <f t="shared" si="30"/>
        <v>4.2353128247717857E-2</v>
      </c>
      <c r="G512">
        <f t="shared" si="31"/>
        <v>-2.9945949781789397E-2</v>
      </c>
      <c r="H512">
        <f t="shared" si="32"/>
        <v>-4.2353128247717857E-2</v>
      </c>
    </row>
    <row r="513" spans="1:8" x14ac:dyDescent="0.2">
      <c r="A513" s="1">
        <v>45149</v>
      </c>
      <c r="B513">
        <v>175.73099999999999</v>
      </c>
      <c r="C513">
        <f t="shared" si="27"/>
        <v>3.3579679487313711E-4</v>
      </c>
      <c r="D513">
        <f t="shared" si="28"/>
        <v>1.8157127879001696E-2</v>
      </c>
      <c r="E513">
        <f t="shared" si="29"/>
        <v>2.9865817646797618E-2</v>
      </c>
      <c r="F513">
        <f t="shared" si="30"/>
        <v>4.2239795840003279E-2</v>
      </c>
      <c r="G513">
        <f t="shared" si="31"/>
        <v>-2.9865817646797618E-2</v>
      </c>
      <c r="H513">
        <f t="shared" si="32"/>
        <v>-4.2239795840003279E-2</v>
      </c>
    </row>
    <row r="514" spans="1:8" x14ac:dyDescent="0.2">
      <c r="A514" s="1">
        <v>45152</v>
      </c>
      <c r="B514">
        <v>177.38200000000001</v>
      </c>
      <c r="C514">
        <f t="shared" si="27"/>
        <v>9.3511823745013184E-3</v>
      </c>
      <c r="D514">
        <f t="shared" si="28"/>
        <v>1.8162290306207467E-2</v>
      </c>
      <c r="E514">
        <f t="shared" si="29"/>
        <v>2.9874309083910904E-2</v>
      </c>
      <c r="F514">
        <f t="shared" si="30"/>
        <v>4.2251805441558314E-2</v>
      </c>
      <c r="G514">
        <f t="shared" si="31"/>
        <v>-2.9874309083910904E-2</v>
      </c>
      <c r="H514">
        <f t="shared" si="32"/>
        <v>-4.2251805441558314E-2</v>
      </c>
    </row>
    <row r="515" spans="1:8" x14ac:dyDescent="0.2">
      <c r="A515" s="1">
        <v>45153</v>
      </c>
      <c r="B515">
        <v>175.39500000000001</v>
      </c>
      <c r="C515">
        <f t="shared" ref="C515:C578" si="33">LN(B515/B514)</f>
        <v>-1.1265025852673267E-2</v>
      </c>
      <c r="D515">
        <f t="shared" si="28"/>
        <v>1.8176554259043177E-2</v>
      </c>
      <c r="E515">
        <f t="shared" si="29"/>
        <v>2.9897771198467385E-2</v>
      </c>
      <c r="F515">
        <f t="shared" si="30"/>
        <v>4.2284988357913084E-2</v>
      </c>
      <c r="G515">
        <f t="shared" si="31"/>
        <v>-2.9897771198467385E-2</v>
      </c>
      <c r="H515">
        <f t="shared" si="32"/>
        <v>-4.2284988357913084E-2</v>
      </c>
    </row>
    <row r="516" spans="1:8" x14ac:dyDescent="0.2">
      <c r="A516" s="1">
        <v>45154</v>
      </c>
      <c r="B516">
        <v>174.52500000000001</v>
      </c>
      <c r="C516">
        <f t="shared" si="33"/>
        <v>-4.9725754039263792E-3</v>
      </c>
      <c r="D516">
        <f t="shared" si="28"/>
        <v>1.817112340375758E-2</v>
      </c>
      <c r="E516">
        <f t="shared" si="29"/>
        <v>2.9888838236453424E-2</v>
      </c>
      <c r="F516">
        <f t="shared" si="30"/>
        <v>4.2272354299265215E-2</v>
      </c>
      <c r="G516">
        <f t="shared" si="31"/>
        <v>-2.9888838236453424E-2</v>
      </c>
      <c r="H516">
        <f t="shared" si="32"/>
        <v>-4.2272354299265215E-2</v>
      </c>
    </row>
    <row r="517" spans="1:8" x14ac:dyDescent="0.2">
      <c r="A517" s="1">
        <v>45155</v>
      </c>
      <c r="B517">
        <v>171.98500000000001</v>
      </c>
      <c r="C517">
        <f t="shared" si="33"/>
        <v>-1.4660734148289901E-2</v>
      </c>
      <c r="D517">
        <f t="shared" si="28"/>
        <v>1.8194398760813513E-2</v>
      </c>
      <c r="E517">
        <f t="shared" si="29"/>
        <v>2.9927122791925467E-2</v>
      </c>
      <c r="F517">
        <f t="shared" si="30"/>
        <v>4.2326500876669823E-2</v>
      </c>
      <c r="G517">
        <f t="shared" si="31"/>
        <v>-2.9927122791925467E-2</v>
      </c>
      <c r="H517">
        <f t="shared" si="32"/>
        <v>-4.2326500876669823E-2</v>
      </c>
    </row>
    <row r="518" spans="1:8" x14ac:dyDescent="0.2">
      <c r="A518" s="1">
        <v>45156</v>
      </c>
      <c r="B518">
        <v>172.46899999999999</v>
      </c>
      <c r="C518">
        <f t="shared" si="33"/>
        <v>2.8102464685086483E-3</v>
      </c>
      <c r="D518">
        <f t="shared" si="28"/>
        <v>1.8169477331023903E-2</v>
      </c>
      <c r="E518">
        <f t="shared" si="29"/>
        <v>2.988613068774721E-2</v>
      </c>
      <c r="F518">
        <f t="shared" si="30"/>
        <v>4.2268524961460704E-2</v>
      </c>
      <c r="G518">
        <f t="shared" si="31"/>
        <v>-2.988613068774721E-2</v>
      </c>
      <c r="H518">
        <f t="shared" si="32"/>
        <v>-4.2268524961460704E-2</v>
      </c>
    </row>
    <row r="519" spans="1:8" x14ac:dyDescent="0.2">
      <c r="A519" s="1">
        <v>45159</v>
      </c>
      <c r="B519">
        <v>173.80199999999999</v>
      </c>
      <c r="C519">
        <f t="shared" si="33"/>
        <v>7.699210068259155E-3</v>
      </c>
      <c r="D519">
        <f t="shared" si="28"/>
        <v>1.8114841544268415E-2</v>
      </c>
      <c r="E519">
        <f t="shared" si="29"/>
        <v>2.9796262815741097E-2</v>
      </c>
      <c r="F519">
        <f t="shared" si="30"/>
        <v>4.2141423115095528E-2</v>
      </c>
      <c r="G519">
        <f t="shared" si="31"/>
        <v>-2.9796262815741097E-2</v>
      </c>
      <c r="H519">
        <f t="shared" si="32"/>
        <v>-4.2141423115095528E-2</v>
      </c>
    </row>
    <row r="520" spans="1:8" x14ac:dyDescent="0.2">
      <c r="A520" s="1">
        <v>45160</v>
      </c>
      <c r="B520">
        <v>175.178</v>
      </c>
      <c r="C520">
        <f t="shared" si="33"/>
        <v>7.8858795964223179E-3</v>
      </c>
      <c r="D520">
        <f t="shared" si="28"/>
        <v>1.812076078081732E-2</v>
      </c>
      <c r="E520">
        <f t="shared" si="29"/>
        <v>2.9805999093447347E-2</v>
      </c>
      <c r="F520">
        <f t="shared" si="30"/>
        <v>4.2155193318457018E-2</v>
      </c>
      <c r="G520">
        <f t="shared" si="31"/>
        <v>-2.9805999093447347E-2</v>
      </c>
      <c r="H520">
        <f t="shared" si="32"/>
        <v>-4.2155193318457018E-2</v>
      </c>
    </row>
    <row r="521" spans="1:8" x14ac:dyDescent="0.2">
      <c r="A521" s="1">
        <v>45161</v>
      </c>
      <c r="B521">
        <v>179.02</v>
      </c>
      <c r="C521">
        <f t="shared" si="33"/>
        <v>2.1694931601427582E-2</v>
      </c>
      <c r="D521">
        <f t="shared" si="28"/>
        <v>1.8171188163822089E-2</v>
      </c>
      <c r="E521">
        <f t="shared" si="29"/>
        <v>2.9888944757280413E-2</v>
      </c>
      <c r="F521">
        <f t="shared" si="30"/>
        <v>4.2272504953703605E-2</v>
      </c>
      <c r="G521">
        <f t="shared" si="31"/>
        <v>-2.9888944757280413E-2</v>
      </c>
      <c r="H521">
        <f t="shared" si="32"/>
        <v>-4.2272504953703605E-2</v>
      </c>
    </row>
    <row r="522" spans="1:8" x14ac:dyDescent="0.2">
      <c r="A522" s="1">
        <v>45162</v>
      </c>
      <c r="B522">
        <v>174.33799999999999</v>
      </c>
      <c r="C522">
        <f t="shared" si="33"/>
        <v>-2.650158776180607E-2</v>
      </c>
      <c r="D522">
        <f t="shared" si="28"/>
        <v>1.8226749730987448E-2</v>
      </c>
      <c r="E522">
        <f t="shared" si="29"/>
        <v>2.9980335402551461E-2</v>
      </c>
      <c r="F522">
        <f t="shared" si="30"/>
        <v>4.2401760487357117E-2</v>
      </c>
      <c r="G522">
        <f t="shared" si="31"/>
        <v>-2.9980335402551461E-2</v>
      </c>
      <c r="H522">
        <f t="shared" si="32"/>
        <v>-4.2401760487357117E-2</v>
      </c>
    </row>
    <row r="523" spans="1:8" x14ac:dyDescent="0.2">
      <c r="A523" s="1">
        <v>45163</v>
      </c>
      <c r="B523">
        <v>176.542</v>
      </c>
      <c r="C523">
        <f t="shared" si="33"/>
        <v>1.2562864724237054E-2</v>
      </c>
      <c r="D523">
        <f t="shared" si="28"/>
        <v>1.807774688305561E-2</v>
      </c>
      <c r="E523">
        <f t="shared" si="29"/>
        <v>2.9735247527704678E-2</v>
      </c>
      <c r="F523">
        <f t="shared" si="30"/>
        <v>4.2055128028844854E-2</v>
      </c>
      <c r="G523">
        <f t="shared" si="31"/>
        <v>-2.9735247527704678E-2</v>
      </c>
      <c r="H523">
        <f t="shared" si="32"/>
        <v>-4.2055128028844854E-2</v>
      </c>
    </row>
    <row r="524" spans="1:8" x14ac:dyDescent="0.2">
      <c r="A524" s="1">
        <v>45166</v>
      </c>
      <c r="B524">
        <v>178.102</v>
      </c>
      <c r="C524">
        <f t="shared" si="33"/>
        <v>8.7976114736062466E-3</v>
      </c>
      <c r="D524">
        <f t="shared" si="28"/>
        <v>1.8063126506297985E-2</v>
      </c>
      <c r="E524">
        <f t="shared" si="29"/>
        <v>2.9711199147967503E-2</v>
      </c>
      <c r="F524">
        <f t="shared" si="30"/>
        <v>4.2021115946457077E-2</v>
      </c>
      <c r="G524">
        <f t="shared" si="31"/>
        <v>-2.9711199147967503E-2</v>
      </c>
      <c r="H524">
        <f t="shared" si="32"/>
        <v>-4.2021115946457077E-2</v>
      </c>
    </row>
    <row r="525" spans="1:8" x14ac:dyDescent="0.2">
      <c r="A525" s="1">
        <v>45167</v>
      </c>
      <c r="B525">
        <v>181.988</v>
      </c>
      <c r="C525">
        <f t="shared" si="33"/>
        <v>2.1584330958285044E-2</v>
      </c>
      <c r="D525">
        <f t="shared" si="28"/>
        <v>1.8084026983229175E-2</v>
      </c>
      <c r="E525">
        <f t="shared" si="29"/>
        <v>2.9745577373252785E-2</v>
      </c>
      <c r="F525">
        <f t="shared" si="30"/>
        <v>4.2069737726532393E-2</v>
      </c>
      <c r="G525">
        <f t="shared" si="31"/>
        <v>-2.9745577373252785E-2</v>
      </c>
      <c r="H525">
        <f t="shared" si="32"/>
        <v>-4.2069737726532393E-2</v>
      </c>
    </row>
    <row r="526" spans="1:8" x14ac:dyDescent="0.2">
      <c r="A526" s="1">
        <v>45168</v>
      </c>
      <c r="B526">
        <v>185.47499999999999</v>
      </c>
      <c r="C526">
        <f t="shared" si="33"/>
        <v>1.8979351238474357E-2</v>
      </c>
      <c r="D526">
        <f t="shared" si="28"/>
        <v>1.8106881757806642E-2</v>
      </c>
      <c r="E526">
        <f t="shared" si="29"/>
        <v>2.9783170132109692E-2</v>
      </c>
      <c r="F526">
        <f t="shared" si="30"/>
        <v>4.2122905882782363E-2</v>
      </c>
      <c r="G526">
        <f t="shared" si="31"/>
        <v>-2.9783170132109692E-2</v>
      </c>
      <c r="H526">
        <f t="shared" si="32"/>
        <v>-4.2122905882782363E-2</v>
      </c>
    </row>
    <row r="527" spans="1:8" x14ac:dyDescent="0.2">
      <c r="A527" s="1">
        <v>45169</v>
      </c>
      <c r="B527">
        <v>185.69499999999999</v>
      </c>
      <c r="C527">
        <f t="shared" si="33"/>
        <v>1.18544077249394E-3</v>
      </c>
      <c r="D527">
        <f t="shared" si="28"/>
        <v>1.810515111700892E-2</v>
      </c>
      <c r="E527">
        <f t="shared" si="29"/>
        <v>2.9780323481316609E-2</v>
      </c>
      <c r="F527">
        <f t="shared" si="30"/>
        <v>4.2118879810241851E-2</v>
      </c>
      <c r="G527">
        <f t="shared" si="31"/>
        <v>-2.9780323481316609E-2</v>
      </c>
      <c r="H527">
        <f t="shared" si="32"/>
        <v>-4.2118879810241851E-2</v>
      </c>
    </row>
    <row r="528" spans="1:8" x14ac:dyDescent="0.2">
      <c r="A528" s="1">
        <v>45170</v>
      </c>
      <c r="B528">
        <v>187.26599999999999</v>
      </c>
      <c r="C528">
        <f t="shared" si="33"/>
        <v>8.4245231618532406E-3</v>
      </c>
      <c r="D528">
        <f t="shared" si="28"/>
        <v>1.8088458351389926E-2</v>
      </c>
      <c r="E528">
        <f t="shared" si="29"/>
        <v>2.9752866325244355E-2</v>
      </c>
      <c r="F528">
        <f t="shared" si="30"/>
        <v>4.2080046630432244E-2</v>
      </c>
      <c r="G528">
        <f t="shared" si="31"/>
        <v>-2.9752866325244355E-2</v>
      </c>
      <c r="H528">
        <f t="shared" si="32"/>
        <v>-4.2080046630432244E-2</v>
      </c>
    </row>
    <row r="529" spans="1:8" x14ac:dyDescent="0.2">
      <c r="A529" s="1">
        <v>45174</v>
      </c>
      <c r="B529">
        <v>187.50399999999999</v>
      </c>
      <c r="C529">
        <f t="shared" si="33"/>
        <v>1.2701125063096746E-3</v>
      </c>
      <c r="D529">
        <f t="shared" si="28"/>
        <v>1.8079307465137133E-2</v>
      </c>
      <c r="E529">
        <f t="shared" si="29"/>
        <v>2.9737814456801629E-2</v>
      </c>
      <c r="F529">
        <f t="shared" si="30"/>
        <v>4.2058758485652471E-2</v>
      </c>
      <c r="G529">
        <f t="shared" si="31"/>
        <v>-2.9737814456801629E-2</v>
      </c>
      <c r="H529">
        <f t="shared" si="32"/>
        <v>-4.2058758485652471E-2</v>
      </c>
    </row>
    <row r="530" spans="1:8" x14ac:dyDescent="0.2">
      <c r="A530" s="1">
        <v>45175</v>
      </c>
      <c r="B530">
        <v>180.79</v>
      </c>
      <c r="C530">
        <f t="shared" si="33"/>
        <v>-3.6464041822323476E-2</v>
      </c>
      <c r="D530">
        <f t="shared" si="28"/>
        <v>1.8224590917732486E-2</v>
      </c>
      <c r="E530">
        <f t="shared" si="29"/>
        <v>2.9976784470739128E-2</v>
      </c>
      <c r="F530">
        <f t="shared" si="30"/>
        <v>4.2396738336730987E-2</v>
      </c>
      <c r="G530">
        <f t="shared" si="31"/>
        <v>-2.9976784470739128E-2</v>
      </c>
      <c r="H530">
        <f t="shared" si="32"/>
        <v>-4.2396738336730987E-2</v>
      </c>
    </row>
    <row r="531" spans="1:8" x14ac:dyDescent="0.2">
      <c r="A531" s="1">
        <v>45176</v>
      </c>
      <c r="B531">
        <v>175.50299999999999</v>
      </c>
      <c r="C531">
        <f t="shared" si="33"/>
        <v>-2.9679999917009679E-2</v>
      </c>
      <c r="D531">
        <f t="shared" si="28"/>
        <v>1.8313864451306588E-2</v>
      </c>
      <c r="E531">
        <f t="shared" si="29"/>
        <v>3.0123626366229263E-2</v>
      </c>
      <c r="F531">
        <f t="shared" si="30"/>
        <v>4.2604419631769211E-2</v>
      </c>
      <c r="G531">
        <f t="shared" si="31"/>
        <v>-3.0123626366229263E-2</v>
      </c>
      <c r="H531">
        <f t="shared" si="32"/>
        <v>-4.2604419631769211E-2</v>
      </c>
    </row>
    <row r="532" spans="1:8" x14ac:dyDescent="0.2">
      <c r="A532" s="1">
        <v>45177</v>
      </c>
      <c r="B532">
        <v>176.11600000000001</v>
      </c>
      <c r="C532">
        <f t="shared" si="33"/>
        <v>3.4867320653055641E-3</v>
      </c>
      <c r="D532">
        <f t="shared" si="28"/>
        <v>1.827880870363888E-2</v>
      </c>
      <c r="E532">
        <f t="shared" si="29"/>
        <v>3.0065964792532537E-2</v>
      </c>
      <c r="F532">
        <f t="shared" si="30"/>
        <v>4.2522867767709527E-2</v>
      </c>
      <c r="G532">
        <f t="shared" si="31"/>
        <v>-3.0065964792532537E-2</v>
      </c>
      <c r="H532">
        <f t="shared" si="32"/>
        <v>-4.2522867767709527E-2</v>
      </c>
    </row>
    <row r="533" spans="1:8" x14ac:dyDescent="0.2">
      <c r="A533" s="1">
        <v>45180</v>
      </c>
      <c r="B533">
        <v>177.28200000000001</v>
      </c>
      <c r="C533">
        <f t="shared" si="33"/>
        <v>6.5988162415110563E-3</v>
      </c>
      <c r="D533">
        <f t="shared" si="28"/>
        <v>1.8129248978616216E-2</v>
      </c>
      <c r="E533">
        <f t="shared" si="29"/>
        <v>2.9819960936383144E-2</v>
      </c>
      <c r="F533">
        <f t="shared" si="30"/>
        <v>4.2174939819360921E-2</v>
      </c>
      <c r="G533">
        <f t="shared" si="31"/>
        <v>-2.9819960936383144E-2</v>
      </c>
      <c r="H533">
        <f t="shared" si="32"/>
        <v>-4.2174939819360921E-2</v>
      </c>
    </row>
    <row r="534" spans="1:8" x14ac:dyDescent="0.2">
      <c r="A534" s="1">
        <v>45181</v>
      </c>
      <c r="B534">
        <v>174.25899999999999</v>
      </c>
      <c r="C534">
        <f t="shared" si="33"/>
        <v>-1.7198986848644491E-2</v>
      </c>
      <c r="D534">
        <f t="shared" si="28"/>
        <v>1.7748260323420344E-2</v>
      </c>
      <c r="E534">
        <f t="shared" si="29"/>
        <v>2.919329036505685E-2</v>
      </c>
      <c r="F534">
        <f t="shared" si="30"/>
        <v>4.128862767131232E-2</v>
      </c>
      <c r="G534">
        <f t="shared" si="31"/>
        <v>-2.919329036505685E-2</v>
      </c>
      <c r="H534">
        <f t="shared" si="32"/>
        <v>-4.128862767131232E-2</v>
      </c>
    </row>
    <row r="535" spans="1:8" x14ac:dyDescent="0.2">
      <c r="A535" s="1">
        <v>45182</v>
      </c>
      <c r="B535">
        <v>172.19300000000001</v>
      </c>
      <c r="C535">
        <f t="shared" si="33"/>
        <v>-1.1926757474209342E-2</v>
      </c>
      <c r="D535">
        <f t="shared" si="28"/>
        <v>1.7756676190800673E-2</v>
      </c>
      <c r="E535">
        <f t="shared" si="29"/>
        <v>2.9207133235041326E-2</v>
      </c>
      <c r="F535">
        <f t="shared" si="30"/>
        <v>4.1308205906500757E-2</v>
      </c>
      <c r="G535">
        <f t="shared" si="31"/>
        <v>-2.9207133235041326E-2</v>
      </c>
      <c r="H535">
        <f t="shared" si="32"/>
        <v>-4.1308205906500757E-2</v>
      </c>
    </row>
    <row r="536" spans="1:8" x14ac:dyDescent="0.2">
      <c r="A536" s="1">
        <v>45183</v>
      </c>
      <c r="B536">
        <v>173.70400000000001</v>
      </c>
      <c r="C536">
        <f t="shared" si="33"/>
        <v>8.7367604305944868E-3</v>
      </c>
      <c r="D536">
        <f t="shared" si="28"/>
        <v>1.7720627014011416E-2</v>
      </c>
      <c r="E536">
        <f t="shared" si="29"/>
        <v>2.9147837615850904E-2</v>
      </c>
      <c r="F536">
        <f t="shared" si="30"/>
        <v>4.1224342980716151E-2</v>
      </c>
      <c r="G536">
        <f t="shared" si="31"/>
        <v>-2.9147837615850904E-2</v>
      </c>
      <c r="H536">
        <f t="shared" si="32"/>
        <v>-4.1224342980716151E-2</v>
      </c>
    </row>
    <row r="537" spans="1:8" x14ac:dyDescent="0.2">
      <c r="A537" s="1">
        <v>45184</v>
      </c>
      <c r="B537">
        <v>172.982</v>
      </c>
      <c r="C537">
        <f t="shared" si="33"/>
        <v>-4.1651583496522789E-3</v>
      </c>
      <c r="D537">
        <f t="shared" si="28"/>
        <v>1.7707861417629915E-2</v>
      </c>
      <c r="E537">
        <f t="shared" si="29"/>
        <v>2.912684007834259E-2</v>
      </c>
      <c r="F537">
        <f t="shared" si="30"/>
        <v>4.1194645762713179E-2</v>
      </c>
      <c r="G537">
        <f t="shared" si="31"/>
        <v>-2.912684007834259E-2</v>
      </c>
      <c r="H537">
        <f t="shared" si="32"/>
        <v>-4.1194645762713179E-2</v>
      </c>
    </row>
    <row r="538" spans="1:8" x14ac:dyDescent="0.2">
      <c r="A538" s="1">
        <v>45187</v>
      </c>
      <c r="B538">
        <v>175.90799999999999</v>
      </c>
      <c r="C538">
        <f t="shared" si="33"/>
        <v>1.677358825407561E-2</v>
      </c>
      <c r="D538">
        <f t="shared" si="28"/>
        <v>1.7671201738864616E-2</v>
      </c>
      <c r="E538">
        <f t="shared" si="29"/>
        <v>2.9066540272762613E-2</v>
      </c>
      <c r="F538">
        <f t="shared" si="30"/>
        <v>4.110936259695451E-2</v>
      </c>
      <c r="G538">
        <f t="shared" si="31"/>
        <v>-2.9066540272762613E-2</v>
      </c>
      <c r="H538">
        <f t="shared" si="32"/>
        <v>-4.110936259695451E-2</v>
      </c>
    </row>
    <row r="539" spans="1:8" x14ac:dyDescent="0.2">
      <c r="A539" s="1">
        <v>45188</v>
      </c>
      <c r="B539">
        <v>176.995</v>
      </c>
      <c r="C539">
        <f t="shared" si="33"/>
        <v>6.1603524913653269E-3</v>
      </c>
      <c r="D539">
        <f t="shared" si="28"/>
        <v>1.7649303889763445E-2</v>
      </c>
      <c r="E539">
        <f t="shared" si="29"/>
        <v>2.9030521516246115E-2</v>
      </c>
      <c r="F539">
        <f t="shared" si="30"/>
        <v>4.1058420582251932E-2</v>
      </c>
      <c r="G539">
        <f t="shared" si="31"/>
        <v>-2.9030521516246115E-2</v>
      </c>
      <c r="H539">
        <f t="shared" si="32"/>
        <v>-4.1058420582251932E-2</v>
      </c>
    </row>
    <row r="540" spans="1:8" x14ac:dyDescent="0.2">
      <c r="A540" s="1">
        <v>45189</v>
      </c>
      <c r="B540">
        <v>173.458</v>
      </c>
      <c r="C540">
        <f t="shared" si="33"/>
        <v>-2.0185988433164506E-2</v>
      </c>
      <c r="D540">
        <f t="shared" si="28"/>
        <v>1.7647976484850537E-2</v>
      </c>
      <c r="E540">
        <f t="shared" si="29"/>
        <v>2.9028338129460686E-2</v>
      </c>
      <c r="F540">
        <f t="shared" si="30"/>
        <v>4.10553325766548E-2</v>
      </c>
      <c r="G540">
        <f t="shared" si="31"/>
        <v>-2.9028338129460686E-2</v>
      </c>
      <c r="H540">
        <f t="shared" si="32"/>
        <v>-4.10553325766548E-2</v>
      </c>
    </row>
    <row r="541" spans="1:8" x14ac:dyDescent="0.2">
      <c r="A541" s="1">
        <v>45190</v>
      </c>
      <c r="B541">
        <v>171.916</v>
      </c>
      <c r="C541">
        <f t="shared" si="33"/>
        <v>-8.9295097261570724E-3</v>
      </c>
      <c r="D541">
        <f t="shared" si="28"/>
        <v>1.7652720295778235E-2</v>
      </c>
      <c r="E541">
        <f t="shared" si="29"/>
        <v>2.9036141004070683E-2</v>
      </c>
      <c r="F541">
        <f t="shared" si="30"/>
        <v>4.1066368331121303E-2</v>
      </c>
      <c r="G541">
        <f t="shared" si="31"/>
        <v>-2.9036141004070683E-2</v>
      </c>
      <c r="H541">
        <f t="shared" si="32"/>
        <v>-4.1066368331121303E-2</v>
      </c>
    </row>
    <row r="542" spans="1:8" x14ac:dyDescent="0.2">
      <c r="A542" s="1">
        <v>45191</v>
      </c>
      <c r="B542">
        <v>172.76599999999999</v>
      </c>
      <c r="C542">
        <f t="shared" si="33"/>
        <v>4.932092323115124E-3</v>
      </c>
      <c r="D542">
        <f t="shared" si="28"/>
        <v>1.7626391211058669E-2</v>
      </c>
      <c r="E542">
        <f t="shared" si="29"/>
        <v>2.8992833513575393E-2</v>
      </c>
      <c r="F542">
        <f t="shared" si="30"/>
        <v>4.1005117720858492E-2</v>
      </c>
      <c r="G542">
        <f t="shared" si="31"/>
        <v>-2.8992833513575393E-2</v>
      </c>
      <c r="H542">
        <f t="shared" si="32"/>
        <v>-4.1005117720858492E-2</v>
      </c>
    </row>
    <row r="543" spans="1:8" x14ac:dyDescent="0.2">
      <c r="A543" s="1">
        <v>45194</v>
      </c>
      <c r="B543">
        <v>174.03899999999999</v>
      </c>
      <c r="C543">
        <f t="shared" si="33"/>
        <v>7.3413342793566799E-3</v>
      </c>
      <c r="D543">
        <f t="shared" si="28"/>
        <v>1.7631220351625579E-2</v>
      </c>
      <c r="E543">
        <f t="shared" si="29"/>
        <v>2.9000776742951932E-2</v>
      </c>
      <c r="F543">
        <f t="shared" si="30"/>
        <v>4.1016351981749771E-2</v>
      </c>
      <c r="G543">
        <f t="shared" si="31"/>
        <v>-2.9000776742951932E-2</v>
      </c>
      <c r="H543">
        <f t="shared" si="32"/>
        <v>-4.1016351981749771E-2</v>
      </c>
    </row>
    <row r="544" spans="1:8" x14ac:dyDescent="0.2">
      <c r="A544" s="1">
        <v>45195</v>
      </c>
      <c r="B544">
        <v>169.96799999999999</v>
      </c>
      <c r="C544">
        <f t="shared" si="33"/>
        <v>-2.3669227992752586E-2</v>
      </c>
      <c r="D544">
        <f t="shared" si="28"/>
        <v>1.7694060961730432E-2</v>
      </c>
      <c r="E544">
        <f t="shared" si="29"/>
        <v>2.9104140348402745E-2</v>
      </c>
      <c r="F544">
        <f t="shared" si="30"/>
        <v>4.1162541101470627E-2</v>
      </c>
      <c r="G544">
        <f t="shared" si="31"/>
        <v>-2.9104140348402745E-2</v>
      </c>
      <c r="H544">
        <f t="shared" si="32"/>
        <v>-4.1162541101470627E-2</v>
      </c>
    </row>
    <row r="545" spans="1:8" x14ac:dyDescent="0.2">
      <c r="A545" s="1">
        <v>45196</v>
      </c>
      <c r="B545">
        <v>168.45599999999999</v>
      </c>
      <c r="C545">
        <f t="shared" si="33"/>
        <v>-8.9355959414275446E-3</v>
      </c>
      <c r="D545">
        <f t="shared" si="28"/>
        <v>1.7684275760853681E-2</v>
      </c>
      <c r="E545">
        <f t="shared" si="29"/>
        <v>2.9088045125250171E-2</v>
      </c>
      <c r="F545">
        <f t="shared" si="30"/>
        <v>4.1139777320213934E-2</v>
      </c>
      <c r="G545">
        <f t="shared" si="31"/>
        <v>-2.9088045125250171E-2</v>
      </c>
      <c r="H545">
        <f t="shared" si="32"/>
        <v>-4.1139777320213934E-2</v>
      </c>
    </row>
    <row r="546" spans="1:8" x14ac:dyDescent="0.2">
      <c r="A546" s="1">
        <v>45197</v>
      </c>
      <c r="B546">
        <v>168.71100000000001</v>
      </c>
      <c r="C546">
        <f t="shared" si="33"/>
        <v>1.5126038350098204E-3</v>
      </c>
      <c r="D546">
        <f t="shared" si="28"/>
        <v>1.738656089238267E-2</v>
      </c>
      <c r="E546">
        <f t="shared" si="29"/>
        <v>2.859834774404825E-2</v>
      </c>
      <c r="F546">
        <f t="shared" si="30"/>
        <v>4.0447188968876051E-2</v>
      </c>
      <c r="G546">
        <f t="shared" si="31"/>
        <v>-2.859834774404825E-2</v>
      </c>
      <c r="H546">
        <f t="shared" si="32"/>
        <v>-4.0447188968876051E-2</v>
      </c>
    </row>
    <row r="547" spans="1:8" x14ac:dyDescent="0.2">
      <c r="A547" s="1">
        <v>45198</v>
      </c>
      <c r="B547">
        <v>169.22800000000001</v>
      </c>
      <c r="C547">
        <f t="shared" si="33"/>
        <v>3.059726183381344E-3</v>
      </c>
      <c r="D547">
        <f t="shared" si="28"/>
        <v>1.7273454000886996E-2</v>
      </c>
      <c r="E547">
        <f t="shared" si="29"/>
        <v>2.8412303463338381E-2</v>
      </c>
      <c r="F547">
        <f t="shared" si="30"/>
        <v>4.0184062992305716E-2</v>
      </c>
      <c r="G547">
        <f t="shared" si="31"/>
        <v>-2.8412303463338381E-2</v>
      </c>
      <c r="H547">
        <f t="shared" si="32"/>
        <v>-4.0184062992305716E-2</v>
      </c>
    </row>
    <row r="548" spans="1:8" x14ac:dyDescent="0.2">
      <c r="A548" s="1">
        <v>45201</v>
      </c>
      <c r="B548">
        <v>171.73599999999999</v>
      </c>
      <c r="C548">
        <f t="shared" si="33"/>
        <v>1.4711495837166204E-2</v>
      </c>
      <c r="D548">
        <f t="shared" si="28"/>
        <v>1.7194809483988289E-2</v>
      </c>
      <c r="E548">
        <f t="shared" si="29"/>
        <v>2.8282944744477699E-2</v>
      </c>
      <c r="F548">
        <f t="shared" si="30"/>
        <v>4.0001108487613443E-2</v>
      </c>
      <c r="G548">
        <f t="shared" si="31"/>
        <v>-2.8282944744477699E-2</v>
      </c>
      <c r="H548">
        <f t="shared" si="32"/>
        <v>-4.0001108487613443E-2</v>
      </c>
    </row>
    <row r="549" spans="1:8" x14ac:dyDescent="0.2">
      <c r="A549" s="1">
        <v>45202</v>
      </c>
      <c r="B549">
        <v>170.40299999999999</v>
      </c>
      <c r="C549">
        <f t="shared" si="33"/>
        <v>-7.7921940777465207E-3</v>
      </c>
      <c r="D549">
        <f t="shared" si="28"/>
        <v>1.7132826468321802E-2</v>
      </c>
      <c r="E549">
        <f t="shared" si="29"/>
        <v>2.8180991756349288E-2</v>
      </c>
      <c r="F549">
        <f t="shared" si="30"/>
        <v>3.9856914430891066E-2</v>
      </c>
      <c r="G549">
        <f t="shared" si="31"/>
        <v>-2.8180991756349288E-2</v>
      </c>
      <c r="H549">
        <f t="shared" si="32"/>
        <v>-3.9856914430891066E-2</v>
      </c>
    </row>
    <row r="550" spans="1:8" x14ac:dyDescent="0.2">
      <c r="A550" s="1">
        <v>45203</v>
      </c>
      <c r="B550">
        <v>171.64699999999999</v>
      </c>
      <c r="C550">
        <f t="shared" si="33"/>
        <v>7.2738224519354909E-3</v>
      </c>
      <c r="D550">
        <f t="shared" si="28"/>
        <v>1.7137687465436178E-2</v>
      </c>
      <c r="E550">
        <f t="shared" si="29"/>
        <v>2.8188987385083467E-2</v>
      </c>
      <c r="F550">
        <f t="shared" si="30"/>
        <v>3.9868222801193814E-2</v>
      </c>
      <c r="G550">
        <f t="shared" si="31"/>
        <v>-2.8188987385083467E-2</v>
      </c>
      <c r="H550">
        <f t="shared" si="32"/>
        <v>-3.9868222801193814E-2</v>
      </c>
    </row>
    <row r="551" spans="1:8" x14ac:dyDescent="0.2">
      <c r="A551" s="1">
        <v>45204</v>
      </c>
      <c r="B551">
        <v>172.88399999999999</v>
      </c>
      <c r="C551">
        <f t="shared" si="33"/>
        <v>7.1808070413599016E-3</v>
      </c>
      <c r="D551">
        <f t="shared" si="28"/>
        <v>1.7136208967604549E-2</v>
      </c>
      <c r="E551">
        <f t="shared" si="29"/>
        <v>2.8186555472562672E-2</v>
      </c>
      <c r="F551">
        <f t="shared" si="30"/>
        <v>3.9864783300906433E-2</v>
      </c>
      <c r="G551">
        <f t="shared" si="31"/>
        <v>-2.8186555472562672E-2</v>
      </c>
      <c r="H551">
        <f t="shared" si="32"/>
        <v>-3.9864783300906433E-2</v>
      </c>
    </row>
    <row r="552" spans="1:8" x14ac:dyDescent="0.2">
      <c r="A552" s="1">
        <v>45205</v>
      </c>
      <c r="B552">
        <v>175.434</v>
      </c>
      <c r="C552">
        <f t="shared" si="33"/>
        <v>1.4642054431070495E-2</v>
      </c>
      <c r="D552">
        <f t="shared" si="28"/>
        <v>1.6986054129025228E-2</v>
      </c>
      <c r="E552">
        <f t="shared" si="29"/>
        <v>2.7939572741721166E-2</v>
      </c>
      <c r="F552">
        <f t="shared" si="30"/>
        <v>3.9515470911400487E-2</v>
      </c>
      <c r="G552">
        <f t="shared" si="31"/>
        <v>-2.7939572741721166E-2</v>
      </c>
      <c r="H552">
        <f t="shared" si="32"/>
        <v>-3.9515470911400487E-2</v>
      </c>
    </row>
    <row r="553" spans="1:8" x14ac:dyDescent="0.2">
      <c r="A553" s="1">
        <v>45208</v>
      </c>
      <c r="B553">
        <v>176.91499999999999</v>
      </c>
      <c r="C553">
        <f t="shared" si="33"/>
        <v>8.4064874412924755E-3</v>
      </c>
      <c r="D553">
        <f t="shared" si="28"/>
        <v>1.6992349774449255E-2</v>
      </c>
      <c r="E553">
        <f t="shared" si="29"/>
        <v>2.7949928156930877E-2</v>
      </c>
      <c r="F553">
        <f t="shared" si="30"/>
        <v>3.9530116772748383E-2</v>
      </c>
      <c r="G553">
        <f t="shared" si="31"/>
        <v>-2.7949928156930877E-2</v>
      </c>
      <c r="H553">
        <f t="shared" si="32"/>
        <v>-3.9530116772748383E-2</v>
      </c>
    </row>
    <row r="554" spans="1:8" x14ac:dyDescent="0.2">
      <c r="A554" s="1">
        <v>45209</v>
      </c>
      <c r="B554">
        <v>176.32400000000001</v>
      </c>
      <c r="C554">
        <f t="shared" si="33"/>
        <v>-3.3461795070649004E-3</v>
      </c>
      <c r="D554">
        <f t="shared" si="28"/>
        <v>1.697943151918091E-2</v>
      </c>
      <c r="E554">
        <f t="shared" si="29"/>
        <v>2.7928679517898854E-2</v>
      </c>
      <c r="F554">
        <f t="shared" si="30"/>
        <v>3.9500064417068555E-2</v>
      </c>
      <c r="G554">
        <f t="shared" si="31"/>
        <v>-2.7928679517898854E-2</v>
      </c>
      <c r="H554">
        <f t="shared" si="32"/>
        <v>-3.9500064417068555E-2</v>
      </c>
    </row>
    <row r="555" spans="1:8" x14ac:dyDescent="0.2">
      <c r="A555" s="1">
        <v>45210</v>
      </c>
      <c r="B555">
        <v>177.71700000000001</v>
      </c>
      <c r="C555">
        <f t="shared" si="33"/>
        <v>7.869185706438693E-3</v>
      </c>
      <c r="D555">
        <f t="shared" si="28"/>
        <v>1.6981160994425665E-2</v>
      </c>
      <c r="E555">
        <f t="shared" si="29"/>
        <v>2.7931524251527912E-2</v>
      </c>
      <c r="F555">
        <f t="shared" si="30"/>
        <v>3.9504087778127396E-2</v>
      </c>
      <c r="G555">
        <f t="shared" si="31"/>
        <v>-2.7931524251527912E-2</v>
      </c>
      <c r="H555">
        <f t="shared" si="32"/>
        <v>-3.9504087778127396E-2</v>
      </c>
    </row>
    <row r="556" spans="1:8" x14ac:dyDescent="0.2">
      <c r="A556" s="1">
        <v>45211</v>
      </c>
      <c r="B556">
        <v>178.61699999999999</v>
      </c>
      <c r="C556">
        <f t="shared" si="33"/>
        <v>5.0514512439797056E-3</v>
      </c>
      <c r="D556">
        <f t="shared" si="28"/>
        <v>1.686124188117874E-2</v>
      </c>
      <c r="E556">
        <f t="shared" si="29"/>
        <v>2.7734274863162902E-2</v>
      </c>
      <c r="F556">
        <f t="shared" si="30"/>
        <v>3.9225114203968549E-2</v>
      </c>
      <c r="G556">
        <f t="shared" si="31"/>
        <v>-2.7734274863162902E-2</v>
      </c>
      <c r="H556">
        <f t="shared" si="32"/>
        <v>-3.9225114203968549E-2</v>
      </c>
    </row>
    <row r="557" spans="1:8" x14ac:dyDescent="0.2">
      <c r="A557" s="1">
        <v>45212</v>
      </c>
      <c r="B557">
        <v>176.77699999999999</v>
      </c>
      <c r="C557">
        <f t="shared" si="33"/>
        <v>-1.0354797439749886E-2</v>
      </c>
      <c r="D557">
        <f t="shared" si="28"/>
        <v>1.674029670500763E-2</v>
      </c>
      <c r="E557">
        <f t="shared" si="29"/>
        <v>2.7535337751475569E-2</v>
      </c>
      <c r="F557">
        <f t="shared" si="30"/>
        <v>3.8943753650507396E-2</v>
      </c>
      <c r="G557">
        <f t="shared" si="31"/>
        <v>-2.7535337751475569E-2</v>
      </c>
      <c r="H557">
        <f t="shared" si="32"/>
        <v>-3.8943753650507396E-2</v>
      </c>
    </row>
    <row r="558" spans="1:8" x14ac:dyDescent="0.2">
      <c r="A558" s="1">
        <v>45215</v>
      </c>
      <c r="B558">
        <v>176.65199999999999</v>
      </c>
      <c r="C558">
        <f t="shared" si="33"/>
        <v>-7.0735567942641433E-4</v>
      </c>
      <c r="D558">
        <f t="shared" si="28"/>
        <v>1.6648238349381998E-2</v>
      </c>
      <c r="E558">
        <f t="shared" si="29"/>
        <v>2.7383915231333558E-2</v>
      </c>
      <c r="F558">
        <f t="shared" si="30"/>
        <v>3.8729593890610009E-2</v>
      </c>
      <c r="G558">
        <f t="shared" si="31"/>
        <v>-2.7383915231333558E-2</v>
      </c>
      <c r="H558">
        <f t="shared" si="32"/>
        <v>-3.8729593890610009E-2</v>
      </c>
    </row>
    <row r="559" spans="1:8" x14ac:dyDescent="0.2">
      <c r="A559" s="1">
        <v>45216</v>
      </c>
      <c r="B559">
        <v>175.09899999999999</v>
      </c>
      <c r="C559">
        <f t="shared" si="33"/>
        <v>-8.8301673106510707E-3</v>
      </c>
      <c r="D559">
        <f t="shared" si="28"/>
        <v>1.6651004807637631E-2</v>
      </c>
      <c r="E559">
        <f t="shared" si="29"/>
        <v>2.7388465650229146E-2</v>
      </c>
      <c r="F559">
        <f t="shared" si="30"/>
        <v>3.8736029634891624E-2</v>
      </c>
      <c r="G559">
        <f t="shared" si="31"/>
        <v>-2.7388465650229146E-2</v>
      </c>
      <c r="H559">
        <f t="shared" si="32"/>
        <v>-3.8736029634891624E-2</v>
      </c>
    </row>
    <row r="560" spans="1:8" x14ac:dyDescent="0.2">
      <c r="A560" s="1">
        <v>45217</v>
      </c>
      <c r="B560">
        <v>173.80199999999999</v>
      </c>
      <c r="C560">
        <f t="shared" si="33"/>
        <v>-7.4348080082821668E-3</v>
      </c>
      <c r="D560">
        <f t="shared" si="28"/>
        <v>1.6659265632347899E-2</v>
      </c>
      <c r="E560">
        <f t="shared" si="29"/>
        <v>2.7402053497715441E-2</v>
      </c>
      <c r="F560">
        <f t="shared" si="30"/>
        <v>3.875524718689418E-2</v>
      </c>
      <c r="G560">
        <f t="shared" si="31"/>
        <v>-2.7402053497715441E-2</v>
      </c>
      <c r="H560">
        <f t="shared" si="32"/>
        <v>-3.875524718689418E-2</v>
      </c>
    </row>
    <row r="561" spans="1:8" x14ac:dyDescent="0.2">
      <c r="A561" s="1">
        <v>45218</v>
      </c>
      <c r="B561">
        <v>173.428</v>
      </c>
      <c r="C561">
        <f t="shared" si="33"/>
        <v>-2.1541925791569248E-3</v>
      </c>
      <c r="D561">
        <f t="shared" si="28"/>
        <v>1.6658309495138711E-2</v>
      </c>
      <c r="E561">
        <f t="shared" si="29"/>
        <v>2.7400480791959045E-2</v>
      </c>
      <c r="F561">
        <f t="shared" si="30"/>
        <v>3.8753022879130294E-2</v>
      </c>
      <c r="G561">
        <f t="shared" si="31"/>
        <v>-2.7400480791959045E-2</v>
      </c>
      <c r="H561">
        <f t="shared" si="32"/>
        <v>-3.8753022879130294E-2</v>
      </c>
    </row>
    <row r="562" spans="1:8" x14ac:dyDescent="0.2">
      <c r="A562" s="1">
        <v>45219</v>
      </c>
      <c r="B562">
        <v>170.87700000000001</v>
      </c>
      <c r="C562">
        <f t="shared" si="33"/>
        <v>-1.4818528227842846E-2</v>
      </c>
      <c r="D562">
        <f t="shared" si="28"/>
        <v>1.6606318389821306E-2</v>
      </c>
      <c r="E562">
        <f t="shared" si="29"/>
        <v>2.7314963033808495E-2</v>
      </c>
      <c r="F562">
        <f t="shared" si="30"/>
        <v>3.8632073481806112E-2</v>
      </c>
      <c r="G562">
        <f t="shared" si="31"/>
        <v>-2.7314963033808495E-2</v>
      </c>
      <c r="H562">
        <f t="shared" si="32"/>
        <v>-3.8632073481806112E-2</v>
      </c>
    </row>
    <row r="563" spans="1:8" x14ac:dyDescent="0.2">
      <c r="A563" s="1">
        <v>45222</v>
      </c>
      <c r="B563">
        <v>170.99600000000001</v>
      </c>
      <c r="C563">
        <f t="shared" si="33"/>
        <v>6.9616497825851227E-4</v>
      </c>
      <c r="D563">
        <f t="shared" si="28"/>
        <v>1.65823612937455E-2</v>
      </c>
      <c r="E563">
        <f t="shared" si="29"/>
        <v>2.7275557117436983E-2</v>
      </c>
      <c r="F563">
        <f t="shared" si="30"/>
        <v>3.8576340942281968E-2</v>
      </c>
      <c r="G563">
        <f t="shared" si="31"/>
        <v>-2.7275557117436983E-2</v>
      </c>
      <c r="H563">
        <f t="shared" si="32"/>
        <v>-3.8576340942281968E-2</v>
      </c>
    </row>
    <row r="564" spans="1:8" x14ac:dyDescent="0.2">
      <c r="A564" s="1">
        <v>45223</v>
      </c>
      <c r="B564">
        <v>171.43199999999999</v>
      </c>
      <c r="C564">
        <f t="shared" si="33"/>
        <v>2.5465221045792631E-3</v>
      </c>
      <c r="D564">
        <f t="shared" si="28"/>
        <v>1.654103999564906E-2</v>
      </c>
      <c r="E564">
        <f t="shared" si="29"/>
        <v>2.7207589630392711E-2</v>
      </c>
      <c r="F564">
        <f t="shared" si="30"/>
        <v>3.8480213228302709E-2</v>
      </c>
      <c r="G564">
        <f t="shared" si="31"/>
        <v>-2.7207589630392711E-2</v>
      </c>
      <c r="H564">
        <f t="shared" si="32"/>
        <v>-3.8480213228302709E-2</v>
      </c>
    </row>
    <row r="565" spans="1:8" x14ac:dyDescent="0.2">
      <c r="A565" s="1">
        <v>45224</v>
      </c>
      <c r="B565">
        <v>169.119</v>
      </c>
      <c r="C565">
        <f t="shared" si="33"/>
        <v>-1.3584077377546041E-2</v>
      </c>
      <c r="D565">
        <f t="shared" si="28"/>
        <v>1.6514945015224224E-2</v>
      </c>
      <c r="E565">
        <f t="shared" si="29"/>
        <v>2.7164667207195691E-2</v>
      </c>
      <c r="F565">
        <f t="shared" si="30"/>
        <v>3.8419507226068253E-2</v>
      </c>
      <c r="G565">
        <f t="shared" si="31"/>
        <v>-2.7164667207195691E-2</v>
      </c>
      <c r="H565">
        <f t="shared" si="32"/>
        <v>-3.8419507226068253E-2</v>
      </c>
    </row>
    <row r="566" spans="1:8" x14ac:dyDescent="0.2">
      <c r="A566" s="1">
        <v>45225</v>
      </c>
      <c r="B566">
        <v>164.958</v>
      </c>
      <c r="C566">
        <f t="shared" si="33"/>
        <v>-2.4911713099392666E-2</v>
      </c>
      <c r="D566">
        <f t="shared" si="28"/>
        <v>1.6473156244459372E-2</v>
      </c>
      <c r="E566">
        <f t="shared" si="29"/>
        <v>2.7095930796037278E-2</v>
      </c>
      <c r="F566">
        <f t="shared" si="30"/>
        <v>3.8322292008040659E-2</v>
      </c>
      <c r="G566">
        <f t="shared" si="31"/>
        <v>-2.7095930796037278E-2</v>
      </c>
      <c r="H566">
        <f t="shared" si="32"/>
        <v>-3.8322292008040659E-2</v>
      </c>
    </row>
    <row r="567" spans="1:8" x14ac:dyDescent="0.2">
      <c r="A567" s="1">
        <v>45226</v>
      </c>
      <c r="B567">
        <v>166.27099999999999</v>
      </c>
      <c r="C567">
        <f t="shared" si="33"/>
        <v>7.9280913044271831E-3</v>
      </c>
      <c r="D567">
        <f t="shared" si="28"/>
        <v>1.5828959707232408E-2</v>
      </c>
      <c r="E567">
        <f t="shared" si="29"/>
        <v>2.6036321785309929E-2</v>
      </c>
      <c r="F567">
        <f t="shared" si="30"/>
        <v>3.6823666763198239E-2</v>
      </c>
      <c r="G567">
        <f t="shared" si="31"/>
        <v>-2.6036321785309929E-2</v>
      </c>
      <c r="H567">
        <f t="shared" si="32"/>
        <v>-3.6823666763198239E-2</v>
      </c>
    </row>
    <row r="568" spans="1:8" x14ac:dyDescent="0.2">
      <c r="A568" s="1">
        <v>45229</v>
      </c>
      <c r="B568">
        <v>168.31899999999999</v>
      </c>
      <c r="C568">
        <f t="shared" si="33"/>
        <v>1.2242001118788509E-2</v>
      </c>
      <c r="D568">
        <f t="shared" si="28"/>
        <v>1.5814590419239494E-2</v>
      </c>
      <c r="E568">
        <f t="shared" si="29"/>
        <v>2.6012686409838073E-2</v>
      </c>
      <c r="F568">
        <f t="shared" si="30"/>
        <v>3.6790238800624445E-2</v>
      </c>
      <c r="G568">
        <f t="shared" si="31"/>
        <v>-2.6012686409838073E-2</v>
      </c>
      <c r="H568">
        <f t="shared" si="32"/>
        <v>-3.6790238800624445E-2</v>
      </c>
    </row>
    <row r="569" spans="1:8" x14ac:dyDescent="0.2">
      <c r="A569" s="1">
        <v>45230</v>
      </c>
      <c r="B569">
        <v>168.791</v>
      </c>
      <c r="C569">
        <f t="shared" si="33"/>
        <v>2.8002747378234089E-3</v>
      </c>
      <c r="D569">
        <f t="shared" si="28"/>
        <v>1.5773276170300173E-2</v>
      </c>
      <c r="E569">
        <f t="shared" si="29"/>
        <v>2.5944730517625456E-2</v>
      </c>
      <c r="F569">
        <f t="shared" si="30"/>
        <v>3.6694127485436864E-2</v>
      </c>
      <c r="G569">
        <f t="shared" si="31"/>
        <v>-2.5944730517625456E-2</v>
      </c>
      <c r="H569">
        <f t="shared" si="32"/>
        <v>-3.6694127485436864E-2</v>
      </c>
    </row>
    <row r="570" spans="1:8" x14ac:dyDescent="0.2">
      <c r="A570" s="1">
        <v>45231</v>
      </c>
      <c r="B570">
        <v>171.95500000000001</v>
      </c>
      <c r="C570">
        <f t="shared" si="33"/>
        <v>1.8571551471043647E-2</v>
      </c>
      <c r="D570">
        <f t="shared" si="28"/>
        <v>1.5623207972471947E-2</v>
      </c>
      <c r="E570">
        <f t="shared" si="29"/>
        <v>2.5697890298137627E-2</v>
      </c>
      <c r="F570">
        <f t="shared" si="30"/>
        <v>3.6345016652458026E-2</v>
      </c>
      <c r="G570">
        <f t="shared" si="31"/>
        <v>-2.5697890298137627E-2</v>
      </c>
      <c r="H570">
        <f t="shared" si="32"/>
        <v>-3.6345016652458026E-2</v>
      </c>
    </row>
    <row r="571" spans="1:8" x14ac:dyDescent="0.2">
      <c r="A571" s="1">
        <v>45232</v>
      </c>
      <c r="B571">
        <v>175.51300000000001</v>
      </c>
      <c r="C571">
        <f t="shared" si="33"/>
        <v>2.0480299560720939E-2</v>
      </c>
      <c r="D571">
        <f t="shared" si="28"/>
        <v>1.5420057113320642E-2</v>
      </c>
      <c r="E571">
        <f t="shared" si="29"/>
        <v>2.5363736870644298E-2</v>
      </c>
      <c r="F571">
        <f t="shared" si="30"/>
        <v>3.5872417083161821E-2</v>
      </c>
      <c r="G571">
        <f t="shared" si="31"/>
        <v>-2.5363736870644298E-2</v>
      </c>
      <c r="H571">
        <f t="shared" si="32"/>
        <v>-3.5872417083161821E-2</v>
      </c>
    </row>
    <row r="572" spans="1:8" x14ac:dyDescent="0.2">
      <c r="A572" s="1">
        <v>45233</v>
      </c>
      <c r="B572">
        <v>174.60400000000001</v>
      </c>
      <c r="C572">
        <f t="shared" si="33"/>
        <v>-5.1925615861171601E-3</v>
      </c>
      <c r="D572">
        <f t="shared" si="28"/>
        <v>1.5423921991288838E-2</v>
      </c>
      <c r="E572">
        <f t="shared" si="29"/>
        <v>2.5370094029188009E-2</v>
      </c>
      <c r="F572">
        <f t="shared" si="30"/>
        <v>3.588140813380656E-2</v>
      </c>
      <c r="G572">
        <f t="shared" si="31"/>
        <v>-2.5370094029188009E-2</v>
      </c>
      <c r="H572">
        <f t="shared" si="32"/>
        <v>-3.588140813380656E-2</v>
      </c>
    </row>
    <row r="573" spans="1:8" x14ac:dyDescent="0.2">
      <c r="A573" s="1">
        <v>45236</v>
      </c>
      <c r="B573">
        <v>177.154</v>
      </c>
      <c r="C573">
        <f t="shared" si="33"/>
        <v>1.4498858140721927E-2</v>
      </c>
      <c r="D573">
        <f t="shared" ref="D573:D636" si="34">_xlfn.STDEV.S(C324:C573)</f>
        <v>1.5446504538157194E-2</v>
      </c>
      <c r="E573">
        <f t="shared" ref="E573:E636" si="35">_xlfn.NORM.S.INV(0.95)*D573</f>
        <v>2.5407239013310226E-2</v>
      </c>
      <c r="F573">
        <f t="shared" ref="F573:F636" si="36">_xlfn.NORM.S.INV(0.99)*D573</f>
        <v>3.5933942993704185E-2</v>
      </c>
      <c r="G573">
        <f t="shared" ref="G573:G636" si="37">-E573</f>
        <v>-2.5407239013310226E-2</v>
      </c>
      <c r="H573">
        <f t="shared" ref="H573:H636" si="38">-F573</f>
        <v>-3.5933942993704185E-2</v>
      </c>
    </row>
    <row r="574" spans="1:8" x14ac:dyDescent="0.2">
      <c r="A574" s="1">
        <v>45237</v>
      </c>
      <c r="B574">
        <v>179.71600000000001</v>
      </c>
      <c r="C574">
        <f t="shared" si="33"/>
        <v>1.435841631904175E-2</v>
      </c>
      <c r="D574">
        <f t="shared" si="34"/>
        <v>1.5468239046645129E-2</v>
      </c>
      <c r="E574">
        <f t="shared" si="35"/>
        <v>2.5442989098426613E-2</v>
      </c>
      <c r="F574">
        <f t="shared" si="36"/>
        <v>3.5984505021318419E-2</v>
      </c>
      <c r="G574">
        <f t="shared" si="37"/>
        <v>-2.5442989098426613E-2</v>
      </c>
      <c r="H574">
        <f t="shared" si="38"/>
        <v>-3.5984505021318419E-2</v>
      </c>
    </row>
    <row r="575" spans="1:8" x14ac:dyDescent="0.2">
      <c r="A575" s="1">
        <v>45238</v>
      </c>
      <c r="B575">
        <v>180.77</v>
      </c>
      <c r="C575">
        <f t="shared" si="33"/>
        <v>5.8476778764705306E-3</v>
      </c>
      <c r="D575">
        <f t="shared" si="34"/>
        <v>1.5312097546056497E-2</v>
      </c>
      <c r="E575">
        <f t="shared" si="35"/>
        <v>2.5186159184865758E-2</v>
      </c>
      <c r="F575">
        <f t="shared" si="36"/>
        <v>3.5621265573374507E-2</v>
      </c>
      <c r="G575">
        <f t="shared" si="37"/>
        <v>-2.5186159184865758E-2</v>
      </c>
      <c r="H575">
        <f t="shared" si="38"/>
        <v>-3.5621265573374507E-2</v>
      </c>
    </row>
    <row r="576" spans="1:8" x14ac:dyDescent="0.2">
      <c r="A576" s="1">
        <v>45239</v>
      </c>
      <c r="B576">
        <v>180.298</v>
      </c>
      <c r="C576">
        <f t="shared" si="33"/>
        <v>-2.6144674624205516E-3</v>
      </c>
      <c r="D576">
        <f t="shared" si="34"/>
        <v>1.4354300715364438E-2</v>
      </c>
      <c r="E576">
        <f t="shared" si="35"/>
        <v>2.3610723594019299E-2</v>
      </c>
      <c r="F576">
        <f t="shared" si="36"/>
        <v>3.3393096952530982E-2</v>
      </c>
      <c r="G576">
        <f t="shared" si="37"/>
        <v>-2.3610723594019299E-2</v>
      </c>
      <c r="H576">
        <f t="shared" si="38"/>
        <v>-3.3393096952530982E-2</v>
      </c>
    </row>
    <row r="577" spans="1:8" x14ac:dyDescent="0.2">
      <c r="A577" s="1">
        <v>45240</v>
      </c>
      <c r="B577">
        <v>184.482</v>
      </c>
      <c r="C577">
        <f t="shared" si="33"/>
        <v>2.2940860221248104E-2</v>
      </c>
      <c r="D577">
        <f t="shared" si="34"/>
        <v>1.4376035600728448E-2</v>
      </c>
      <c r="E577">
        <f t="shared" si="35"/>
        <v>2.3646474299041664E-2</v>
      </c>
      <c r="F577">
        <f t="shared" si="36"/>
        <v>3.3443659856890066E-2</v>
      </c>
      <c r="G577">
        <f t="shared" si="37"/>
        <v>-2.3646474299041664E-2</v>
      </c>
      <c r="H577">
        <f t="shared" si="38"/>
        <v>-3.3443659856890066E-2</v>
      </c>
    </row>
    <row r="578" spans="1:8" x14ac:dyDescent="0.2">
      <c r="A578" s="1">
        <v>45243</v>
      </c>
      <c r="B578">
        <v>182.9</v>
      </c>
      <c r="C578">
        <f t="shared" si="33"/>
        <v>-8.6123423487704884E-3</v>
      </c>
      <c r="D578">
        <f t="shared" si="34"/>
        <v>1.4373487946359263E-2</v>
      </c>
      <c r="E578">
        <f t="shared" si="35"/>
        <v>2.364228378051229E-2</v>
      </c>
      <c r="F578">
        <f t="shared" si="36"/>
        <v>3.343773312656452E-2</v>
      </c>
      <c r="G578">
        <f t="shared" si="37"/>
        <v>-2.364228378051229E-2</v>
      </c>
      <c r="H578">
        <f t="shared" si="38"/>
        <v>-3.343773312656452E-2</v>
      </c>
    </row>
    <row r="579" spans="1:8" x14ac:dyDescent="0.2">
      <c r="A579" s="1">
        <v>45244</v>
      </c>
      <c r="B579">
        <v>185.512</v>
      </c>
      <c r="C579">
        <f t="shared" ref="C579:C642" si="39">LN(B579/B578)</f>
        <v>1.4180014585314461E-2</v>
      </c>
      <c r="D579">
        <f t="shared" si="34"/>
        <v>1.4381526366925513E-2</v>
      </c>
      <c r="E579">
        <f t="shared" si="35"/>
        <v>2.3655505805735649E-2</v>
      </c>
      <c r="F579">
        <f t="shared" si="36"/>
        <v>3.3456433289159461E-2</v>
      </c>
      <c r="G579">
        <f t="shared" si="37"/>
        <v>-2.3655505805735649E-2</v>
      </c>
      <c r="H579">
        <f t="shared" si="38"/>
        <v>-3.3456433289159461E-2</v>
      </c>
    </row>
    <row r="580" spans="1:8" x14ac:dyDescent="0.2">
      <c r="A580" s="1">
        <v>45245</v>
      </c>
      <c r="B580">
        <v>186.07599999999999</v>
      </c>
      <c r="C580">
        <f t="shared" si="39"/>
        <v>3.0356224264781037E-3</v>
      </c>
      <c r="D580">
        <f t="shared" si="34"/>
        <v>1.4370027304343275E-2</v>
      </c>
      <c r="E580">
        <f t="shared" si="35"/>
        <v>2.3636591530940713E-2</v>
      </c>
      <c r="F580">
        <f t="shared" si="36"/>
        <v>3.3429682469367811E-2</v>
      </c>
      <c r="G580">
        <f t="shared" si="37"/>
        <v>-2.3636591530940713E-2</v>
      </c>
      <c r="H580">
        <f t="shared" si="38"/>
        <v>-3.3429682469367811E-2</v>
      </c>
    </row>
    <row r="581" spans="1:8" x14ac:dyDescent="0.2">
      <c r="A581" s="1">
        <v>45246</v>
      </c>
      <c r="B581">
        <v>187.75899999999999</v>
      </c>
      <c r="C581">
        <f t="shared" si="39"/>
        <v>9.0040331719536248E-3</v>
      </c>
      <c r="D581">
        <f t="shared" si="34"/>
        <v>1.4359162714447296E-2</v>
      </c>
      <c r="E581">
        <f t="shared" si="35"/>
        <v>2.3618720870844972E-2</v>
      </c>
      <c r="F581">
        <f t="shared" si="36"/>
        <v>3.3404407653760973E-2</v>
      </c>
      <c r="G581">
        <f t="shared" si="37"/>
        <v>-2.3618720870844972E-2</v>
      </c>
      <c r="H581">
        <f t="shared" si="38"/>
        <v>-3.3404407653760973E-2</v>
      </c>
    </row>
    <row r="582" spans="1:8" x14ac:dyDescent="0.2">
      <c r="A582" s="1">
        <v>45247</v>
      </c>
      <c r="B582">
        <v>187.739</v>
      </c>
      <c r="C582">
        <f t="shared" si="39"/>
        <v>-1.0652520130015489E-4</v>
      </c>
      <c r="D582">
        <f t="shared" si="34"/>
        <v>1.4358175792787744E-2</v>
      </c>
      <c r="E582">
        <f t="shared" si="35"/>
        <v>2.361709752917374E-2</v>
      </c>
      <c r="F582">
        <f t="shared" si="36"/>
        <v>3.3402111730656429E-2</v>
      </c>
      <c r="G582">
        <f t="shared" si="37"/>
        <v>-2.361709752917374E-2</v>
      </c>
      <c r="H582">
        <f t="shared" si="38"/>
        <v>-3.3402111730656429E-2</v>
      </c>
    </row>
    <row r="583" spans="1:8" x14ac:dyDescent="0.2">
      <c r="A583" s="1">
        <v>45250</v>
      </c>
      <c r="B583">
        <v>189.482</v>
      </c>
      <c r="C583">
        <f t="shared" si="39"/>
        <v>9.2413328242945576E-3</v>
      </c>
      <c r="D583">
        <f t="shared" si="34"/>
        <v>1.4294087110092502E-2</v>
      </c>
      <c r="E583">
        <f t="shared" si="35"/>
        <v>2.3511681026995929E-2</v>
      </c>
      <c r="F583">
        <f t="shared" si="36"/>
        <v>3.3253019159918275E-2</v>
      </c>
      <c r="G583">
        <f t="shared" si="37"/>
        <v>-2.3511681026995929E-2</v>
      </c>
      <c r="H583">
        <f t="shared" si="38"/>
        <v>-3.3253019159918275E-2</v>
      </c>
    </row>
    <row r="584" spans="1:8" x14ac:dyDescent="0.2">
      <c r="A584" s="1">
        <v>45251</v>
      </c>
      <c r="B584">
        <v>188.679</v>
      </c>
      <c r="C584">
        <f t="shared" si="39"/>
        <v>-4.2468747803447379E-3</v>
      </c>
      <c r="D584">
        <f t="shared" si="34"/>
        <v>1.4272143260238641E-2</v>
      </c>
      <c r="E584">
        <f t="shared" si="35"/>
        <v>2.3475586605974527E-2</v>
      </c>
      <c r="F584">
        <f t="shared" si="36"/>
        <v>3.3201970131462477E-2</v>
      </c>
      <c r="G584">
        <f t="shared" si="37"/>
        <v>-2.3475586605974527E-2</v>
      </c>
      <c r="H584">
        <f t="shared" si="38"/>
        <v>-3.3201970131462477E-2</v>
      </c>
    </row>
    <row r="585" spans="1:8" x14ac:dyDescent="0.2">
      <c r="A585" s="1">
        <v>45252</v>
      </c>
      <c r="B585">
        <v>189.34299999999999</v>
      </c>
      <c r="C585">
        <f t="shared" si="39"/>
        <v>3.5130266645234205E-3</v>
      </c>
      <c r="D585">
        <f t="shared" si="34"/>
        <v>1.4269612583981274E-2</v>
      </c>
      <c r="E585">
        <f t="shared" si="35"/>
        <v>2.3471424013953957E-2</v>
      </c>
      <c r="F585">
        <f t="shared" si="36"/>
        <v>3.3196082898131266E-2</v>
      </c>
      <c r="G585">
        <f t="shared" si="37"/>
        <v>-2.3471424013953957E-2</v>
      </c>
      <c r="H585">
        <f t="shared" si="38"/>
        <v>-3.3196082898131266E-2</v>
      </c>
    </row>
    <row r="586" spans="1:8" x14ac:dyDescent="0.2">
      <c r="A586" s="1">
        <v>45254</v>
      </c>
      <c r="B586">
        <v>188.017</v>
      </c>
      <c r="C586">
        <f t="shared" si="39"/>
        <v>-7.0278008140171435E-3</v>
      </c>
      <c r="D586">
        <f t="shared" si="34"/>
        <v>1.4217735759146158E-2</v>
      </c>
      <c r="E586">
        <f t="shared" si="35"/>
        <v>2.3386094230469192E-2</v>
      </c>
      <c r="F586">
        <f t="shared" si="36"/>
        <v>3.3075399356964102E-2</v>
      </c>
      <c r="G586">
        <f t="shared" si="37"/>
        <v>-2.3386094230469192E-2</v>
      </c>
      <c r="H586">
        <f t="shared" si="38"/>
        <v>-3.3075399356964102E-2</v>
      </c>
    </row>
    <row r="587" spans="1:8" x14ac:dyDescent="0.2">
      <c r="A587" s="1">
        <v>45257</v>
      </c>
      <c r="B587">
        <v>187.83799999999999</v>
      </c>
      <c r="C587">
        <f t="shared" si="39"/>
        <v>-9.5249505012891505E-4</v>
      </c>
      <c r="D587">
        <f t="shared" si="34"/>
        <v>1.4109578428548852E-2</v>
      </c>
      <c r="E587">
        <f t="shared" si="35"/>
        <v>2.3208191252954823E-2</v>
      </c>
      <c r="F587">
        <f t="shared" si="36"/>
        <v>3.2823787780867128E-2</v>
      </c>
      <c r="G587">
        <f t="shared" si="37"/>
        <v>-2.3208191252954823E-2</v>
      </c>
      <c r="H587">
        <f t="shared" si="38"/>
        <v>-3.2823787780867128E-2</v>
      </c>
    </row>
    <row r="588" spans="1:8" x14ac:dyDescent="0.2">
      <c r="A588" s="1">
        <v>45258</v>
      </c>
      <c r="B588">
        <v>188.44200000000001</v>
      </c>
      <c r="C588">
        <f t="shared" si="39"/>
        <v>3.2103780097893332E-3</v>
      </c>
      <c r="D588">
        <f t="shared" si="34"/>
        <v>1.4037644970195964E-2</v>
      </c>
      <c r="E588">
        <f t="shared" si="35"/>
        <v>2.3089871243083912E-2</v>
      </c>
      <c r="F588">
        <f t="shared" si="36"/>
        <v>3.2656445532955485E-2</v>
      </c>
      <c r="G588">
        <f t="shared" si="37"/>
        <v>-2.3089871243083912E-2</v>
      </c>
      <c r="H588">
        <f t="shared" si="38"/>
        <v>-3.2656445532955485E-2</v>
      </c>
    </row>
    <row r="589" spans="1:8" x14ac:dyDescent="0.2">
      <c r="A589" s="1">
        <v>45259</v>
      </c>
      <c r="B589">
        <v>187.42400000000001</v>
      </c>
      <c r="C589">
        <f t="shared" si="39"/>
        <v>-5.4168373260108068E-3</v>
      </c>
      <c r="D589">
        <f t="shared" si="34"/>
        <v>1.3733280717195569E-2</v>
      </c>
      <c r="E589">
        <f t="shared" si="35"/>
        <v>2.258923659762184E-2</v>
      </c>
      <c r="F589">
        <f t="shared" si="36"/>
        <v>3.1948388400053984E-2</v>
      </c>
      <c r="G589">
        <f t="shared" si="37"/>
        <v>-2.258923659762184E-2</v>
      </c>
      <c r="H589">
        <f t="shared" si="38"/>
        <v>-3.1948388400053984E-2</v>
      </c>
    </row>
    <row r="590" spans="1:8" x14ac:dyDescent="0.2">
      <c r="A590" s="1">
        <v>45260</v>
      </c>
      <c r="B590">
        <v>187.99700000000001</v>
      </c>
      <c r="C590">
        <f t="shared" si="39"/>
        <v>3.0525753484476345E-3</v>
      </c>
      <c r="D590">
        <f t="shared" si="34"/>
        <v>1.3733776904869618E-2</v>
      </c>
      <c r="E590">
        <f t="shared" si="35"/>
        <v>2.2590052753717147E-2</v>
      </c>
      <c r="F590">
        <f t="shared" si="36"/>
        <v>3.1949542705194636E-2</v>
      </c>
      <c r="G590">
        <f t="shared" si="37"/>
        <v>-2.2590052753717147E-2</v>
      </c>
      <c r="H590">
        <f t="shared" si="38"/>
        <v>-3.1949542705194636E-2</v>
      </c>
    </row>
    <row r="591" spans="1:8" x14ac:dyDescent="0.2">
      <c r="A591" s="1">
        <v>45261</v>
      </c>
      <c r="B591">
        <v>189.273</v>
      </c>
      <c r="C591">
        <f t="shared" si="39"/>
        <v>6.7644120418764086E-3</v>
      </c>
      <c r="D591">
        <f t="shared" si="34"/>
        <v>1.3735747726673046E-2</v>
      </c>
      <c r="E591">
        <f t="shared" si="35"/>
        <v>2.2593294467108588E-2</v>
      </c>
      <c r="F591">
        <f t="shared" si="36"/>
        <v>3.1954127522307155E-2</v>
      </c>
      <c r="G591">
        <f t="shared" si="37"/>
        <v>-2.2593294467108588E-2</v>
      </c>
      <c r="H591">
        <f t="shared" si="38"/>
        <v>-3.1954127522307155E-2</v>
      </c>
    </row>
    <row r="592" spans="1:8" x14ac:dyDescent="0.2">
      <c r="A592" s="1">
        <v>45264</v>
      </c>
      <c r="B592">
        <v>187.48400000000001</v>
      </c>
      <c r="C592">
        <f t="shared" si="39"/>
        <v>-9.4969088616595233E-3</v>
      </c>
      <c r="D592">
        <f t="shared" si="34"/>
        <v>1.3739983666241991E-2</v>
      </c>
      <c r="E592">
        <f t="shared" si="35"/>
        <v>2.2600261967672116E-2</v>
      </c>
      <c r="F592">
        <f t="shared" si="36"/>
        <v>3.196398179131793E-2</v>
      </c>
      <c r="G592">
        <f t="shared" si="37"/>
        <v>-2.2600261967672116E-2</v>
      </c>
      <c r="H592">
        <f t="shared" si="38"/>
        <v>-3.196398179131793E-2</v>
      </c>
    </row>
    <row r="593" spans="1:8" x14ac:dyDescent="0.2">
      <c r="A593" s="1">
        <v>45265</v>
      </c>
      <c r="B593">
        <v>191.43100000000001</v>
      </c>
      <c r="C593">
        <f t="shared" si="39"/>
        <v>2.0833921940297994E-2</v>
      </c>
      <c r="D593">
        <f t="shared" si="34"/>
        <v>1.3691338951214223E-2</v>
      </c>
      <c r="E593">
        <f t="shared" si="35"/>
        <v>2.2520248531726669E-2</v>
      </c>
      <c r="F593">
        <f t="shared" si="36"/>
        <v>3.1850817261929759E-2</v>
      </c>
      <c r="G593">
        <f t="shared" si="37"/>
        <v>-2.2520248531726669E-2</v>
      </c>
      <c r="H593">
        <f t="shared" si="38"/>
        <v>-3.1850817261929759E-2</v>
      </c>
    </row>
    <row r="594" spans="1:8" x14ac:dyDescent="0.2">
      <c r="A594" s="1">
        <v>45266</v>
      </c>
      <c r="B594">
        <v>190.34299999999999</v>
      </c>
      <c r="C594">
        <f t="shared" si="39"/>
        <v>-5.6997225870368262E-3</v>
      </c>
      <c r="D594">
        <f t="shared" si="34"/>
        <v>1.366475438223705E-2</v>
      </c>
      <c r="E594">
        <f t="shared" si="35"/>
        <v>2.2476520807023628E-2</v>
      </c>
      <c r="F594">
        <f t="shared" si="36"/>
        <v>3.1788972306407426E-2</v>
      </c>
      <c r="G594">
        <f t="shared" si="37"/>
        <v>-2.2476520807023628E-2</v>
      </c>
      <c r="H594">
        <f t="shared" si="38"/>
        <v>-3.1788972306407426E-2</v>
      </c>
    </row>
    <row r="595" spans="1:8" x14ac:dyDescent="0.2">
      <c r="A595" s="1">
        <v>45267</v>
      </c>
      <c r="B595">
        <v>192.27099999999999</v>
      </c>
      <c r="C595">
        <f t="shared" si="39"/>
        <v>1.0078127400822284E-2</v>
      </c>
      <c r="D595">
        <f t="shared" si="34"/>
        <v>1.3659018475049601E-2</v>
      </c>
      <c r="E595">
        <f t="shared" si="35"/>
        <v>2.2467086079282494E-2</v>
      </c>
      <c r="F595">
        <f t="shared" si="36"/>
        <v>3.1775628590916205E-2</v>
      </c>
      <c r="G595">
        <f t="shared" si="37"/>
        <v>-2.2467086079282494E-2</v>
      </c>
      <c r="H595">
        <f t="shared" si="38"/>
        <v>-3.1775628590916205E-2</v>
      </c>
    </row>
    <row r="596" spans="1:8" x14ac:dyDescent="0.2">
      <c r="A596" s="1">
        <v>45268</v>
      </c>
      <c r="B596">
        <v>193.69800000000001</v>
      </c>
      <c r="C596">
        <f t="shared" si="39"/>
        <v>7.3944099243002312E-3</v>
      </c>
      <c r="D596">
        <f t="shared" si="34"/>
        <v>1.3661242689680822E-2</v>
      </c>
      <c r="E596">
        <f t="shared" si="35"/>
        <v>2.2470744586785777E-2</v>
      </c>
      <c r="F596">
        <f t="shared" si="36"/>
        <v>3.1780802887894956E-2</v>
      </c>
      <c r="G596">
        <f t="shared" si="37"/>
        <v>-2.2470744586785777E-2</v>
      </c>
      <c r="H596">
        <f t="shared" si="38"/>
        <v>-3.1780802887894956E-2</v>
      </c>
    </row>
    <row r="597" spans="1:8" x14ac:dyDescent="0.2">
      <c r="A597" s="1">
        <v>45271</v>
      </c>
      <c r="B597">
        <v>191.19399999999999</v>
      </c>
      <c r="C597">
        <f t="shared" si="39"/>
        <v>-1.3011625742643281E-2</v>
      </c>
      <c r="D597">
        <f t="shared" si="34"/>
        <v>1.3657915038023128E-2</v>
      </c>
      <c r="E597">
        <f t="shared" si="35"/>
        <v>2.2465271086887388E-2</v>
      </c>
      <c r="F597">
        <f t="shared" si="36"/>
        <v>3.1773061612535534E-2</v>
      </c>
      <c r="G597">
        <f t="shared" si="37"/>
        <v>-2.2465271086887388E-2</v>
      </c>
      <c r="H597">
        <f t="shared" si="38"/>
        <v>-3.1773061612535534E-2</v>
      </c>
    </row>
    <row r="598" spans="1:8" x14ac:dyDescent="0.2">
      <c r="A598" s="1">
        <v>45272</v>
      </c>
      <c r="B598">
        <v>192.709</v>
      </c>
      <c r="C598">
        <f t="shared" si="39"/>
        <v>7.8926596802789736E-3</v>
      </c>
      <c r="D598">
        <f t="shared" si="34"/>
        <v>1.3659989626397768E-2</v>
      </c>
      <c r="E598">
        <f t="shared" si="35"/>
        <v>2.2468683481099844E-2</v>
      </c>
      <c r="F598">
        <f t="shared" si="36"/>
        <v>3.1777887826790384E-2</v>
      </c>
      <c r="G598">
        <f t="shared" si="37"/>
        <v>-2.2468683481099844E-2</v>
      </c>
      <c r="H598">
        <f t="shared" si="38"/>
        <v>-3.1777887826790384E-2</v>
      </c>
    </row>
    <row r="599" spans="1:8" x14ac:dyDescent="0.2">
      <c r="A599" s="1">
        <v>45273</v>
      </c>
      <c r="B599">
        <v>195.92500000000001</v>
      </c>
      <c r="C599">
        <f t="shared" si="39"/>
        <v>1.6550653886872747E-2</v>
      </c>
      <c r="D599">
        <f t="shared" si="34"/>
        <v>1.3652361609214339E-2</v>
      </c>
      <c r="E599">
        <f t="shared" si="35"/>
        <v>2.2456136509369232E-2</v>
      </c>
      <c r="F599">
        <f t="shared" si="36"/>
        <v>3.1760142405232568E-2</v>
      </c>
      <c r="G599">
        <f t="shared" si="37"/>
        <v>-2.2456136509369232E-2</v>
      </c>
      <c r="H599">
        <f t="shared" si="38"/>
        <v>-3.1760142405232568E-2</v>
      </c>
    </row>
    <row r="600" spans="1:8" x14ac:dyDescent="0.2">
      <c r="A600" s="1">
        <v>45274</v>
      </c>
      <c r="B600">
        <v>196.07400000000001</v>
      </c>
      <c r="C600">
        <f t="shared" si="39"/>
        <v>7.6020605754475827E-4</v>
      </c>
      <c r="D600">
        <f t="shared" si="34"/>
        <v>1.3288505123895934E-2</v>
      </c>
      <c r="E600">
        <f t="shared" si="35"/>
        <v>2.1857645849803441E-2</v>
      </c>
      <c r="F600">
        <f t="shared" si="36"/>
        <v>3.0913685644156128E-2</v>
      </c>
      <c r="G600">
        <f t="shared" si="37"/>
        <v>-2.1857645849803441E-2</v>
      </c>
      <c r="H600">
        <f t="shared" si="38"/>
        <v>-3.0913685644156128E-2</v>
      </c>
    </row>
    <row r="601" spans="1:8" x14ac:dyDescent="0.2">
      <c r="A601" s="1">
        <v>45275</v>
      </c>
      <c r="B601">
        <v>195.53899999999999</v>
      </c>
      <c r="C601">
        <f t="shared" si="39"/>
        <v>-2.7322909751873233E-3</v>
      </c>
      <c r="D601">
        <f t="shared" si="34"/>
        <v>1.3251535370528996E-2</v>
      </c>
      <c r="E601">
        <f t="shared" si="35"/>
        <v>2.1796836016890333E-2</v>
      </c>
      <c r="F601">
        <f t="shared" si="36"/>
        <v>3.0827681137007137E-2</v>
      </c>
      <c r="G601">
        <f t="shared" si="37"/>
        <v>-2.1796836016890333E-2</v>
      </c>
      <c r="H601">
        <f t="shared" si="38"/>
        <v>-3.0827681137007137E-2</v>
      </c>
    </row>
    <row r="602" spans="1:8" x14ac:dyDescent="0.2">
      <c r="A602" s="1">
        <v>45278</v>
      </c>
      <c r="B602">
        <v>193.87700000000001</v>
      </c>
      <c r="C602">
        <f t="shared" si="39"/>
        <v>-8.5359106525821488E-3</v>
      </c>
      <c r="D602">
        <f t="shared" si="34"/>
        <v>1.3219952204173947E-2</v>
      </c>
      <c r="E602">
        <f t="shared" si="35"/>
        <v>2.1744886331160618E-2</v>
      </c>
      <c r="F602">
        <f t="shared" si="36"/>
        <v>3.0754207705101587E-2</v>
      </c>
      <c r="G602">
        <f t="shared" si="37"/>
        <v>-2.1744886331160618E-2</v>
      </c>
      <c r="H602">
        <f t="shared" si="38"/>
        <v>-3.0754207705101587E-2</v>
      </c>
    </row>
    <row r="603" spans="1:8" x14ac:dyDescent="0.2">
      <c r="A603" s="1">
        <v>45279</v>
      </c>
      <c r="B603">
        <v>194.916</v>
      </c>
      <c r="C603">
        <f t="shared" si="39"/>
        <v>5.3447591565553461E-3</v>
      </c>
      <c r="D603">
        <f t="shared" si="34"/>
        <v>1.3221389856473423E-2</v>
      </c>
      <c r="E603">
        <f t="shared" si="35"/>
        <v>2.1747251058759708E-2</v>
      </c>
      <c r="F603">
        <f t="shared" si="36"/>
        <v>3.0757552184472084E-2</v>
      </c>
      <c r="G603">
        <f t="shared" si="37"/>
        <v>-2.1747251058759708E-2</v>
      </c>
      <c r="H603">
        <f t="shared" si="38"/>
        <v>-3.0757552184472084E-2</v>
      </c>
    </row>
    <row r="604" spans="1:8" x14ac:dyDescent="0.2">
      <c r="A604" s="1">
        <v>45280</v>
      </c>
      <c r="B604">
        <v>192.827</v>
      </c>
      <c r="C604">
        <f t="shared" si="39"/>
        <v>-1.0775282659932529E-2</v>
      </c>
      <c r="D604">
        <f t="shared" si="34"/>
        <v>1.3170848716319867E-2</v>
      </c>
      <c r="E604">
        <f t="shared" si="35"/>
        <v>2.1664118281067866E-2</v>
      </c>
      <c r="F604">
        <f t="shared" si="36"/>
        <v>3.063997591052426E-2</v>
      </c>
      <c r="G604">
        <f t="shared" si="37"/>
        <v>-2.1664118281067866E-2</v>
      </c>
      <c r="H604">
        <f t="shared" si="38"/>
        <v>-3.063997591052426E-2</v>
      </c>
    </row>
    <row r="605" spans="1:8" x14ac:dyDescent="0.2">
      <c r="A605" s="1">
        <v>45281</v>
      </c>
      <c r="B605">
        <v>192.68</v>
      </c>
      <c r="C605">
        <f t="shared" si="39"/>
        <v>-7.626321033064262E-4</v>
      </c>
      <c r="D605">
        <f t="shared" si="34"/>
        <v>1.3071320960168586E-2</v>
      </c>
      <c r="E605">
        <f t="shared" si="35"/>
        <v>2.1500409690380091E-2</v>
      </c>
      <c r="F605">
        <f t="shared" si="36"/>
        <v>3.0408439726593673E-2</v>
      </c>
      <c r="G605">
        <f t="shared" si="37"/>
        <v>-2.1500409690380091E-2</v>
      </c>
      <c r="H605">
        <f t="shared" si="38"/>
        <v>-3.0408439726593673E-2</v>
      </c>
    </row>
    <row r="606" spans="1:8" x14ac:dyDescent="0.2">
      <c r="A606" s="1">
        <v>45282</v>
      </c>
      <c r="B606">
        <v>191.60900000000001</v>
      </c>
      <c r="C606">
        <f t="shared" si="39"/>
        <v>-5.5739444683247938E-3</v>
      </c>
      <c r="D606">
        <f t="shared" si="34"/>
        <v>1.3076230653756649E-2</v>
      </c>
      <c r="E606">
        <f t="shared" si="35"/>
        <v>2.1508485417685637E-2</v>
      </c>
      <c r="F606">
        <f t="shared" si="36"/>
        <v>3.0419861381834452E-2</v>
      </c>
      <c r="G606">
        <f t="shared" si="37"/>
        <v>-2.1508485417685637E-2</v>
      </c>
      <c r="H606">
        <f t="shared" si="38"/>
        <v>-3.0419861381834452E-2</v>
      </c>
    </row>
    <row r="607" spans="1:8" x14ac:dyDescent="0.2">
      <c r="A607" s="1">
        <v>45286</v>
      </c>
      <c r="B607">
        <v>191.066</v>
      </c>
      <c r="C607">
        <f t="shared" si="39"/>
        <v>-2.837919197406359E-3</v>
      </c>
      <c r="D607">
        <f t="shared" si="34"/>
        <v>1.3042026384697E-2</v>
      </c>
      <c r="E607">
        <f t="shared" si="35"/>
        <v>2.1452224401665648E-2</v>
      </c>
      <c r="F607">
        <f t="shared" si="36"/>
        <v>3.0340290353224417E-2</v>
      </c>
      <c r="G607">
        <f t="shared" si="37"/>
        <v>-2.1452224401665648E-2</v>
      </c>
      <c r="H607">
        <f t="shared" si="38"/>
        <v>-3.0340290353224417E-2</v>
      </c>
    </row>
    <row r="608" spans="1:8" x14ac:dyDescent="0.2">
      <c r="A608" s="1">
        <v>45287</v>
      </c>
      <c r="B608">
        <v>191.166</v>
      </c>
      <c r="C608">
        <f t="shared" si="39"/>
        <v>5.232424406198423E-4</v>
      </c>
      <c r="D608">
        <f t="shared" si="34"/>
        <v>1.2875193880300896E-2</v>
      </c>
      <c r="E608">
        <f t="shared" si="35"/>
        <v>2.1177809351716322E-2</v>
      </c>
      <c r="F608">
        <f t="shared" si="36"/>
        <v>2.9952179911301634E-2</v>
      </c>
      <c r="G608">
        <f t="shared" si="37"/>
        <v>-2.1177809351716322E-2</v>
      </c>
      <c r="H608">
        <f t="shared" si="38"/>
        <v>-2.9952179911301634E-2</v>
      </c>
    </row>
    <row r="609" spans="1:8" x14ac:dyDescent="0.2">
      <c r="A609" s="1">
        <v>45288</v>
      </c>
      <c r="B609">
        <v>191.589</v>
      </c>
      <c r="C609">
        <f t="shared" si="39"/>
        <v>2.2102920782747604E-3</v>
      </c>
      <c r="D609">
        <f t="shared" si="34"/>
        <v>1.2767343270169646E-2</v>
      </c>
      <c r="E609">
        <f t="shared" si="35"/>
        <v>2.1000410884473002E-2</v>
      </c>
      <c r="F609">
        <f t="shared" si="36"/>
        <v>2.9701281873708792E-2</v>
      </c>
      <c r="G609">
        <f t="shared" si="37"/>
        <v>-2.1000410884473002E-2</v>
      </c>
      <c r="H609">
        <f t="shared" si="38"/>
        <v>-2.9701281873708792E-2</v>
      </c>
    </row>
    <row r="610" spans="1:8" x14ac:dyDescent="0.2">
      <c r="A610" s="1">
        <v>45289</v>
      </c>
      <c r="B610">
        <v>190.55099999999999</v>
      </c>
      <c r="C610">
        <f t="shared" si="39"/>
        <v>-5.4325773426718918E-3</v>
      </c>
      <c r="D610">
        <f t="shared" si="34"/>
        <v>1.2775027007025784E-2</v>
      </c>
      <c r="E610">
        <f t="shared" si="35"/>
        <v>2.1013049506909364E-2</v>
      </c>
      <c r="F610">
        <f t="shared" si="36"/>
        <v>2.9719156918608759E-2</v>
      </c>
      <c r="G610">
        <f t="shared" si="37"/>
        <v>-2.1013049506909364E-2</v>
      </c>
      <c r="H610">
        <f t="shared" si="38"/>
        <v>-2.9719156918608759E-2</v>
      </c>
    </row>
    <row r="611" spans="1:8" x14ac:dyDescent="0.2">
      <c r="A611" s="1">
        <v>45293</v>
      </c>
      <c r="B611">
        <v>183.73099999999999</v>
      </c>
      <c r="C611">
        <f t="shared" si="39"/>
        <v>-3.6447143886399039E-2</v>
      </c>
      <c r="D611">
        <f t="shared" si="34"/>
        <v>1.2754566954477515E-2</v>
      </c>
      <c r="E611">
        <f t="shared" si="35"/>
        <v>2.0979395715267725E-2</v>
      </c>
      <c r="F611">
        <f t="shared" si="36"/>
        <v>2.9671559718860326E-2</v>
      </c>
      <c r="G611">
        <f t="shared" si="37"/>
        <v>-2.0979395715267725E-2</v>
      </c>
      <c r="H611">
        <f t="shared" si="38"/>
        <v>-2.9671559718860326E-2</v>
      </c>
    </row>
    <row r="612" spans="1:8" x14ac:dyDescent="0.2">
      <c r="A612" s="1">
        <v>45294</v>
      </c>
      <c r="B612">
        <v>182.35599999999999</v>
      </c>
      <c r="C612">
        <f t="shared" si="39"/>
        <v>-7.5119109162278888E-3</v>
      </c>
      <c r="D612">
        <f t="shared" si="34"/>
        <v>1.275567623100983E-2</v>
      </c>
      <c r="E612">
        <f t="shared" si="35"/>
        <v>2.0981220312795194E-2</v>
      </c>
      <c r="F612">
        <f t="shared" si="36"/>
        <v>2.9674140281963003E-2</v>
      </c>
      <c r="G612">
        <f t="shared" si="37"/>
        <v>-2.0981220312795194E-2</v>
      </c>
      <c r="H612">
        <f t="shared" si="38"/>
        <v>-2.9674140281963003E-2</v>
      </c>
    </row>
    <row r="613" spans="1:8" x14ac:dyDescent="0.2">
      <c r="A613" s="1">
        <v>45295</v>
      </c>
      <c r="B613">
        <v>180.03899999999999</v>
      </c>
      <c r="C613">
        <f t="shared" si="39"/>
        <v>-1.2787326381840002E-2</v>
      </c>
      <c r="D613">
        <f t="shared" si="34"/>
        <v>1.2764600566955223E-2</v>
      </c>
      <c r="E613">
        <f t="shared" si="35"/>
        <v>2.0995899539143111E-2</v>
      </c>
      <c r="F613">
        <f t="shared" si="36"/>
        <v>2.9694901391916793E-2</v>
      </c>
      <c r="G613">
        <f t="shared" si="37"/>
        <v>-2.0995899539143111E-2</v>
      </c>
      <c r="H613">
        <f t="shared" si="38"/>
        <v>-2.9694901391916793E-2</v>
      </c>
    </row>
    <row r="614" spans="1:8" x14ac:dyDescent="0.2">
      <c r="A614" s="1">
        <v>45296</v>
      </c>
      <c r="B614">
        <v>179.31700000000001</v>
      </c>
      <c r="C614">
        <f t="shared" si="39"/>
        <v>-4.0183048091433932E-3</v>
      </c>
      <c r="D614">
        <f t="shared" si="34"/>
        <v>1.257873821702531E-2</v>
      </c>
      <c r="E614">
        <f t="shared" si="35"/>
        <v>2.0690183178747167E-2</v>
      </c>
      <c r="F614">
        <f t="shared" si="36"/>
        <v>2.9262520909293106E-2</v>
      </c>
      <c r="G614">
        <f t="shared" si="37"/>
        <v>-2.0690183178747167E-2</v>
      </c>
      <c r="H614">
        <f t="shared" si="38"/>
        <v>-2.9262520909293106E-2</v>
      </c>
    </row>
    <row r="615" spans="1:8" x14ac:dyDescent="0.2">
      <c r="A615" s="1">
        <v>45299</v>
      </c>
      <c r="B615">
        <v>183.65199999999999</v>
      </c>
      <c r="C615">
        <f t="shared" si="39"/>
        <v>2.3887473207901081E-2</v>
      </c>
      <c r="D615">
        <f t="shared" si="34"/>
        <v>1.2658055808586643E-2</v>
      </c>
      <c r="E615">
        <f t="shared" si="35"/>
        <v>2.0820649006907881E-2</v>
      </c>
      <c r="F615">
        <f t="shared" si="36"/>
        <v>2.9447041219795855E-2</v>
      </c>
      <c r="G615">
        <f t="shared" si="37"/>
        <v>-2.0820649006907881E-2</v>
      </c>
      <c r="H615">
        <f t="shared" si="38"/>
        <v>-2.9447041219795855E-2</v>
      </c>
    </row>
    <row r="616" spans="1:8" x14ac:dyDescent="0.2">
      <c r="A616" s="1">
        <v>45300</v>
      </c>
      <c r="B616">
        <v>183.238</v>
      </c>
      <c r="C616">
        <f t="shared" si="39"/>
        <v>-2.2568081752830454E-3</v>
      </c>
      <c r="D616">
        <f t="shared" si="34"/>
        <v>1.265875494483043E-2</v>
      </c>
      <c r="E616">
        <f t="shared" si="35"/>
        <v>2.0821798983694208E-2</v>
      </c>
      <c r="F616">
        <f t="shared" si="36"/>
        <v>2.9448667653910254E-2</v>
      </c>
      <c r="G616">
        <f t="shared" si="37"/>
        <v>-2.0821798983694208E-2</v>
      </c>
      <c r="H616">
        <f t="shared" si="38"/>
        <v>-2.9448667653910254E-2</v>
      </c>
    </row>
    <row r="617" spans="1:8" x14ac:dyDescent="0.2">
      <c r="A617" s="1">
        <v>45301</v>
      </c>
      <c r="B617">
        <v>184.27600000000001</v>
      </c>
      <c r="C617">
        <f t="shared" si="39"/>
        <v>5.648779421202379E-3</v>
      </c>
      <c r="D617">
        <f t="shared" si="34"/>
        <v>1.2601159225976384E-2</v>
      </c>
      <c r="E617">
        <f t="shared" si="35"/>
        <v>2.0727062456640254E-2</v>
      </c>
      <c r="F617">
        <f t="shared" si="36"/>
        <v>2.9314679975800288E-2</v>
      </c>
      <c r="G617">
        <f t="shared" si="37"/>
        <v>-2.0727062456640254E-2</v>
      </c>
      <c r="H617">
        <f t="shared" si="38"/>
        <v>-2.9314679975800288E-2</v>
      </c>
    </row>
    <row r="618" spans="1:8" x14ac:dyDescent="0.2">
      <c r="A618" s="1">
        <v>45302</v>
      </c>
      <c r="B618">
        <v>183.68100000000001</v>
      </c>
      <c r="C618">
        <f t="shared" si="39"/>
        <v>-3.2340763654686981E-3</v>
      </c>
      <c r="D618">
        <f t="shared" si="34"/>
        <v>1.2603903688344076E-2</v>
      </c>
      <c r="E618">
        <f t="shared" si="35"/>
        <v>2.0731576695519782E-2</v>
      </c>
      <c r="F618">
        <f t="shared" si="36"/>
        <v>2.9321064549994752E-2</v>
      </c>
      <c r="G618">
        <f t="shared" si="37"/>
        <v>-2.0731576695519782E-2</v>
      </c>
      <c r="H618">
        <f t="shared" si="38"/>
        <v>-2.9321064549994752E-2</v>
      </c>
    </row>
    <row r="619" spans="1:8" x14ac:dyDescent="0.2">
      <c r="A619" s="1">
        <v>45303</v>
      </c>
      <c r="B619">
        <v>184.00800000000001</v>
      </c>
      <c r="C619">
        <f t="shared" si="39"/>
        <v>1.7786775574502372E-3</v>
      </c>
      <c r="D619">
        <f t="shared" si="34"/>
        <v>1.2591790303503089E-2</v>
      </c>
      <c r="E619">
        <f t="shared" si="35"/>
        <v>2.0711651950529427E-2</v>
      </c>
      <c r="F619">
        <f t="shared" si="36"/>
        <v>2.9292884602922484E-2</v>
      </c>
      <c r="G619">
        <f t="shared" si="37"/>
        <v>-2.0711651950529427E-2</v>
      </c>
      <c r="H619">
        <f t="shared" si="38"/>
        <v>-2.9292884602922484E-2</v>
      </c>
    </row>
    <row r="620" spans="1:8" x14ac:dyDescent="0.2">
      <c r="A620" s="1">
        <v>45307</v>
      </c>
      <c r="B620">
        <v>181.74199999999999</v>
      </c>
      <c r="C620">
        <f t="shared" si="39"/>
        <v>-1.2391135986019031E-2</v>
      </c>
      <c r="D620">
        <f t="shared" si="34"/>
        <v>1.2612658898260614E-2</v>
      </c>
      <c r="E620">
        <f t="shared" si="35"/>
        <v>2.0745977734305723E-2</v>
      </c>
      <c r="F620">
        <f t="shared" si="36"/>
        <v>2.9341432213970873E-2</v>
      </c>
      <c r="G620">
        <f t="shared" si="37"/>
        <v>-2.0745977734305723E-2</v>
      </c>
      <c r="H620">
        <f t="shared" si="38"/>
        <v>-2.9341432213970873E-2</v>
      </c>
    </row>
    <row r="621" spans="1:8" x14ac:dyDescent="0.2">
      <c r="A621" s="1">
        <v>45308</v>
      </c>
      <c r="B621">
        <v>180.80099999999999</v>
      </c>
      <c r="C621">
        <f t="shared" si="39"/>
        <v>-5.1911200224524388E-3</v>
      </c>
      <c r="D621">
        <f t="shared" si="34"/>
        <v>1.2612265472888668E-2</v>
      </c>
      <c r="E621">
        <f t="shared" si="35"/>
        <v>2.0745330607155742E-2</v>
      </c>
      <c r="F621">
        <f t="shared" si="36"/>
        <v>2.9340516969693253E-2</v>
      </c>
      <c r="G621">
        <f t="shared" si="37"/>
        <v>-2.0745330607155742E-2</v>
      </c>
      <c r="H621">
        <f t="shared" si="38"/>
        <v>-2.9340516969693253E-2</v>
      </c>
    </row>
    <row r="622" spans="1:8" x14ac:dyDescent="0.2">
      <c r="A622" s="1">
        <v>45309</v>
      </c>
      <c r="B622">
        <v>186.69</v>
      </c>
      <c r="C622">
        <f t="shared" si="39"/>
        <v>3.2052508333004645E-2</v>
      </c>
      <c r="D622">
        <f t="shared" si="34"/>
        <v>1.2761940312672677E-2</v>
      </c>
      <c r="E622">
        <f t="shared" si="35"/>
        <v>2.0991523810237851E-2</v>
      </c>
      <c r="F622">
        <f t="shared" si="36"/>
        <v>2.9688712715022186E-2</v>
      </c>
      <c r="G622">
        <f t="shared" si="37"/>
        <v>-2.0991523810237851E-2</v>
      </c>
      <c r="H622">
        <f t="shared" si="38"/>
        <v>-2.9688712715022186E-2</v>
      </c>
    </row>
    <row r="623" spans="1:8" x14ac:dyDescent="0.2">
      <c r="A623" s="1">
        <v>45310</v>
      </c>
      <c r="B623">
        <v>189.59100000000001</v>
      </c>
      <c r="C623">
        <f t="shared" si="39"/>
        <v>1.5419633090596916E-2</v>
      </c>
      <c r="D623">
        <f t="shared" si="34"/>
        <v>1.2743838083077021E-2</v>
      </c>
      <c r="E623">
        <f t="shared" si="35"/>
        <v>2.0961748292231526E-2</v>
      </c>
      <c r="F623">
        <f t="shared" si="36"/>
        <v>2.9646600631686931E-2</v>
      </c>
      <c r="G623">
        <f t="shared" si="37"/>
        <v>-2.0961748292231526E-2</v>
      </c>
      <c r="H623">
        <f t="shared" si="38"/>
        <v>-2.9646600631686931E-2</v>
      </c>
    </row>
    <row r="624" spans="1:8" x14ac:dyDescent="0.2">
      <c r="A624" s="1">
        <v>45313</v>
      </c>
      <c r="B624">
        <v>191.89699999999999</v>
      </c>
      <c r="C624">
        <f t="shared" si="39"/>
        <v>1.2089649409360607E-2</v>
      </c>
      <c r="D624">
        <f t="shared" si="34"/>
        <v>1.2686482327612233E-2</v>
      </c>
      <c r="E624">
        <f t="shared" si="35"/>
        <v>2.086740646982873E-2</v>
      </c>
      <c r="F624">
        <f t="shared" si="36"/>
        <v>2.9513171191897416E-2</v>
      </c>
      <c r="G624">
        <f t="shared" si="37"/>
        <v>-2.086740646982873E-2</v>
      </c>
      <c r="H624">
        <f t="shared" si="38"/>
        <v>-2.9513171191897416E-2</v>
      </c>
    </row>
    <row r="625" spans="1:8" x14ac:dyDescent="0.2">
      <c r="A625" s="1">
        <v>45314</v>
      </c>
      <c r="B625">
        <v>193.173</v>
      </c>
      <c r="C625">
        <f t="shared" si="39"/>
        <v>6.6273907102706682E-3</v>
      </c>
      <c r="D625">
        <f t="shared" si="34"/>
        <v>1.2678933904135114E-2</v>
      </c>
      <c r="E625">
        <f t="shared" si="35"/>
        <v>2.0854990418094622E-2</v>
      </c>
      <c r="F625">
        <f t="shared" si="36"/>
        <v>2.949561093298906E-2</v>
      </c>
      <c r="G625">
        <f t="shared" si="37"/>
        <v>-2.0854990418094622E-2</v>
      </c>
      <c r="H625">
        <f t="shared" si="38"/>
        <v>-2.949561093298906E-2</v>
      </c>
    </row>
    <row r="626" spans="1:8" x14ac:dyDescent="0.2">
      <c r="A626" s="1">
        <v>45315</v>
      </c>
      <c r="B626">
        <v>192.5</v>
      </c>
      <c r="C626">
        <f t="shared" si="39"/>
        <v>-3.4900067316255222E-3</v>
      </c>
      <c r="D626">
        <f t="shared" si="34"/>
        <v>1.2676856030764018E-2</v>
      </c>
      <c r="E626">
        <f t="shared" si="35"/>
        <v>2.085157262054383E-2</v>
      </c>
      <c r="F626">
        <f t="shared" si="36"/>
        <v>2.9490777076689685E-2</v>
      </c>
      <c r="G626">
        <f t="shared" si="37"/>
        <v>-2.085157262054383E-2</v>
      </c>
      <c r="H626">
        <f t="shared" si="38"/>
        <v>-2.9490777076689685E-2</v>
      </c>
    </row>
    <row r="627" spans="1:8" x14ac:dyDescent="0.2">
      <c r="A627" s="1">
        <v>45316</v>
      </c>
      <c r="B627">
        <v>192.173</v>
      </c>
      <c r="C627">
        <f t="shared" si="39"/>
        <v>-1.7001457277531864E-3</v>
      </c>
      <c r="D627">
        <f t="shared" si="34"/>
        <v>1.2649546968004008E-2</v>
      </c>
      <c r="E627">
        <f t="shared" si="35"/>
        <v>2.0806653209614383E-2</v>
      </c>
      <c r="F627">
        <f t="shared" si="36"/>
        <v>2.9427246696595886E-2</v>
      </c>
      <c r="G627">
        <f t="shared" si="37"/>
        <v>-2.0806653209614383E-2</v>
      </c>
      <c r="H627">
        <f t="shared" si="38"/>
        <v>-2.9427246696595886E-2</v>
      </c>
    </row>
    <row r="628" spans="1:8" x14ac:dyDescent="0.2">
      <c r="A628" s="1">
        <v>45317</v>
      </c>
      <c r="B628">
        <v>190.44200000000001</v>
      </c>
      <c r="C628">
        <f t="shared" si="39"/>
        <v>-9.0483217335341655E-3</v>
      </c>
      <c r="D628">
        <f t="shared" si="34"/>
        <v>1.2641595773809348E-2</v>
      </c>
      <c r="E628">
        <f t="shared" si="35"/>
        <v>2.07935746590047E-2</v>
      </c>
      <c r="F628">
        <f t="shared" si="36"/>
        <v>2.9408749452885054E-2</v>
      </c>
      <c r="G628">
        <f t="shared" si="37"/>
        <v>-2.07935746590047E-2</v>
      </c>
      <c r="H628">
        <f t="shared" si="38"/>
        <v>-2.9408749452885054E-2</v>
      </c>
    </row>
    <row r="629" spans="1:8" x14ac:dyDescent="0.2">
      <c r="A629" s="1">
        <v>45320</v>
      </c>
      <c r="B629">
        <v>189.75800000000001</v>
      </c>
      <c r="C629">
        <f t="shared" si="39"/>
        <v>-3.598110141738249E-3</v>
      </c>
      <c r="D629">
        <f t="shared" si="34"/>
        <v>1.2571899386879351E-2</v>
      </c>
      <c r="E629">
        <f t="shared" si="35"/>
        <v>2.0678934304177481E-2</v>
      </c>
      <c r="F629">
        <f t="shared" si="36"/>
        <v>2.9246611411322128E-2</v>
      </c>
      <c r="G629">
        <f t="shared" si="37"/>
        <v>-2.0678934304177481E-2</v>
      </c>
      <c r="H629">
        <f t="shared" si="38"/>
        <v>-2.9246611411322128E-2</v>
      </c>
    </row>
    <row r="630" spans="1:8" x14ac:dyDescent="0.2">
      <c r="A630" s="1">
        <v>45321</v>
      </c>
      <c r="B630">
        <v>186.10499999999999</v>
      </c>
      <c r="C630">
        <f t="shared" si="39"/>
        <v>-1.9438545561868813E-2</v>
      </c>
      <c r="D630">
        <f t="shared" si="34"/>
        <v>1.2629584392517563E-2</v>
      </c>
      <c r="E630">
        <f t="shared" si="35"/>
        <v>2.077381769492221E-2</v>
      </c>
      <c r="F630">
        <f t="shared" si="36"/>
        <v>2.9380806801552615E-2</v>
      </c>
      <c r="G630">
        <f t="shared" si="37"/>
        <v>-2.077381769492221E-2</v>
      </c>
      <c r="H630">
        <f t="shared" si="38"/>
        <v>-2.9380806801552615E-2</v>
      </c>
    </row>
    <row r="631" spans="1:8" x14ac:dyDescent="0.2">
      <c r="A631" s="1">
        <v>45322</v>
      </c>
      <c r="B631">
        <v>182.50299999999999</v>
      </c>
      <c r="C631">
        <f t="shared" si="39"/>
        <v>-1.9544419319342261E-2</v>
      </c>
      <c r="D631">
        <f t="shared" si="34"/>
        <v>1.2689310885233772E-2</v>
      </c>
      <c r="E631">
        <f t="shared" si="35"/>
        <v>2.0872059033091559E-2</v>
      </c>
      <c r="F631">
        <f t="shared" si="36"/>
        <v>2.9519751400906884E-2</v>
      </c>
      <c r="G631">
        <f t="shared" si="37"/>
        <v>-2.0872059033091559E-2</v>
      </c>
      <c r="H631">
        <f t="shared" si="38"/>
        <v>-2.9519751400906884E-2</v>
      </c>
    </row>
    <row r="632" spans="1:8" x14ac:dyDescent="0.2">
      <c r="A632" s="1">
        <v>45323</v>
      </c>
      <c r="B632">
        <v>184.94</v>
      </c>
      <c r="C632">
        <f t="shared" si="39"/>
        <v>1.3264836905890311E-2</v>
      </c>
      <c r="D632">
        <f t="shared" si="34"/>
        <v>1.2513041283795124E-2</v>
      </c>
      <c r="E632">
        <f t="shared" si="35"/>
        <v>2.0582121339843908E-2</v>
      </c>
      <c r="F632">
        <f t="shared" si="36"/>
        <v>2.910968698834206E-2</v>
      </c>
      <c r="G632">
        <f t="shared" si="37"/>
        <v>-2.0582121339843908E-2</v>
      </c>
      <c r="H632">
        <f t="shared" si="38"/>
        <v>-2.910968698834206E-2</v>
      </c>
    </row>
    <row r="633" spans="1:8" x14ac:dyDescent="0.2">
      <c r="A633" s="1">
        <v>45324</v>
      </c>
      <c r="B633">
        <v>183.941</v>
      </c>
      <c r="C633">
        <f t="shared" si="39"/>
        <v>-5.4163941343204607E-3</v>
      </c>
      <c r="D633">
        <f t="shared" si="34"/>
        <v>1.2431995661004086E-2</v>
      </c>
      <c r="E633">
        <f t="shared" si="35"/>
        <v>2.0448813153247529E-2</v>
      </c>
      <c r="F633">
        <f t="shared" si="36"/>
        <v>2.8921146676061812E-2</v>
      </c>
      <c r="G633">
        <f t="shared" si="37"/>
        <v>-2.0448813153247529E-2</v>
      </c>
      <c r="H633">
        <f t="shared" si="38"/>
        <v>-2.8921146676061812E-2</v>
      </c>
    </row>
    <row r="634" spans="1:8" x14ac:dyDescent="0.2">
      <c r="A634" s="1">
        <v>45327</v>
      </c>
      <c r="B634">
        <v>185.75200000000001</v>
      </c>
      <c r="C634">
        <f t="shared" si="39"/>
        <v>9.7973966848926893E-3</v>
      </c>
      <c r="D634">
        <f t="shared" si="34"/>
        <v>1.2387243809127185E-2</v>
      </c>
      <c r="E634">
        <f t="shared" si="35"/>
        <v>2.037520290737501E-2</v>
      </c>
      <c r="F634">
        <f t="shared" si="36"/>
        <v>2.8817038300588592E-2</v>
      </c>
      <c r="G634">
        <f t="shared" si="37"/>
        <v>-2.037520290737501E-2</v>
      </c>
      <c r="H634">
        <f t="shared" si="38"/>
        <v>-2.8817038300588592E-2</v>
      </c>
    </row>
    <row r="635" spans="1:8" x14ac:dyDescent="0.2">
      <c r="A635" s="1">
        <v>45328</v>
      </c>
      <c r="B635">
        <v>187.35499999999999</v>
      </c>
      <c r="C635">
        <f t="shared" si="39"/>
        <v>8.5927622005932212E-3</v>
      </c>
      <c r="D635">
        <f t="shared" si="34"/>
        <v>1.2343121498072531E-2</v>
      </c>
      <c r="E635">
        <f t="shared" si="35"/>
        <v>2.0302628164007283E-2</v>
      </c>
      <c r="F635">
        <f t="shared" si="36"/>
        <v>2.8714394456068833E-2</v>
      </c>
      <c r="G635">
        <f t="shared" si="37"/>
        <v>-2.0302628164007283E-2</v>
      </c>
      <c r="H635">
        <f t="shared" si="38"/>
        <v>-2.8714394456068833E-2</v>
      </c>
    </row>
    <row r="636" spans="1:8" x14ac:dyDescent="0.2">
      <c r="A636" s="1">
        <v>45329</v>
      </c>
      <c r="B636">
        <v>187.464</v>
      </c>
      <c r="C636">
        <f t="shared" si="39"/>
        <v>5.8161407544795186E-4</v>
      </c>
      <c r="D636">
        <f t="shared" si="34"/>
        <v>1.2286203420080242E-2</v>
      </c>
      <c r="E636">
        <f t="shared" si="35"/>
        <v>2.0209006256982562E-2</v>
      </c>
      <c r="F636">
        <f t="shared" si="36"/>
        <v>2.8581983206336977E-2</v>
      </c>
      <c r="G636">
        <f t="shared" si="37"/>
        <v>-2.0209006256982562E-2</v>
      </c>
      <c r="H636">
        <f t="shared" si="38"/>
        <v>-2.8581983206336977E-2</v>
      </c>
    </row>
    <row r="637" spans="1:8" x14ac:dyDescent="0.2">
      <c r="A637" s="1">
        <v>45330</v>
      </c>
      <c r="B637">
        <v>186.38399999999999</v>
      </c>
      <c r="C637">
        <f t="shared" si="39"/>
        <v>-5.7777653186847234E-3</v>
      </c>
      <c r="D637">
        <f t="shared" ref="D637:D700" si="40">_xlfn.STDEV.S(C388:C637)</f>
        <v>1.2283461625900868E-2</v>
      </c>
      <c r="E637">
        <f t="shared" ref="E637:E700" si="41">_xlfn.NORM.S.INV(0.95)*D637</f>
        <v>2.0204496406882263E-2</v>
      </c>
      <c r="F637">
        <f t="shared" ref="F637:F700" si="42">_xlfn.NORM.S.INV(0.99)*D637</f>
        <v>2.8575604839276736E-2</v>
      </c>
      <c r="G637">
        <f t="shared" ref="G637:G700" si="43">-E637</f>
        <v>-2.0204496406882263E-2</v>
      </c>
      <c r="H637">
        <f t="shared" ref="H637:H700" si="44">-F637</f>
        <v>-2.8575604839276736E-2</v>
      </c>
    </row>
    <row r="638" spans="1:8" x14ac:dyDescent="0.2">
      <c r="A638" s="1">
        <v>45331</v>
      </c>
      <c r="B638">
        <v>187.14599999999999</v>
      </c>
      <c r="C638">
        <f t="shared" si="39"/>
        <v>4.0799992345767321E-3</v>
      </c>
      <c r="D638">
        <f t="shared" si="40"/>
        <v>1.2284709356732646E-2</v>
      </c>
      <c r="E638">
        <f t="shared" si="41"/>
        <v>2.0206548741466372E-2</v>
      </c>
      <c r="F638">
        <f t="shared" si="42"/>
        <v>2.8578507495244616E-2</v>
      </c>
      <c r="G638">
        <f t="shared" si="43"/>
        <v>-2.0206548741466372E-2</v>
      </c>
      <c r="H638">
        <f t="shared" si="44"/>
        <v>-2.8578507495244616E-2</v>
      </c>
    </row>
    <row r="639" spans="1:8" x14ac:dyDescent="0.2">
      <c r="A639" s="1">
        <v>45334</v>
      </c>
      <c r="B639">
        <v>185.46199999999999</v>
      </c>
      <c r="C639">
        <f t="shared" si="39"/>
        <v>-9.0390515815156475E-3</v>
      </c>
      <c r="D639">
        <f t="shared" si="40"/>
        <v>1.2249068714022147E-2</v>
      </c>
      <c r="E639">
        <f t="shared" si="41"/>
        <v>2.0147925101037127E-2</v>
      </c>
      <c r="F639">
        <f t="shared" si="42"/>
        <v>2.8495594961845599E-2</v>
      </c>
      <c r="G639">
        <f t="shared" si="43"/>
        <v>-2.0147925101037127E-2</v>
      </c>
      <c r="H639">
        <f t="shared" si="44"/>
        <v>-2.8495594961845599E-2</v>
      </c>
    </row>
    <row r="640" spans="1:8" x14ac:dyDescent="0.2">
      <c r="A640" s="1">
        <v>45335</v>
      </c>
      <c r="B640">
        <v>183.37</v>
      </c>
      <c r="C640">
        <f t="shared" si="39"/>
        <v>-1.1344039749408922E-2</v>
      </c>
      <c r="D640">
        <f t="shared" si="40"/>
        <v>1.2269039534028634E-2</v>
      </c>
      <c r="E640">
        <f t="shared" si="41"/>
        <v>2.0180774176757992E-2</v>
      </c>
      <c r="F640">
        <f t="shared" si="42"/>
        <v>2.8542054036510542E-2</v>
      </c>
      <c r="G640">
        <f t="shared" si="43"/>
        <v>-2.0180774176757992E-2</v>
      </c>
      <c r="H640">
        <f t="shared" si="44"/>
        <v>-2.8542054036510542E-2</v>
      </c>
    </row>
    <row r="641" spans="1:8" x14ac:dyDescent="0.2">
      <c r="A641" s="1">
        <v>45336</v>
      </c>
      <c r="B641">
        <v>182.488</v>
      </c>
      <c r="C641">
        <f t="shared" si="39"/>
        <v>-4.8215521250357732E-3</v>
      </c>
      <c r="D641">
        <f t="shared" si="40"/>
        <v>1.2246088314872654E-2</v>
      </c>
      <c r="E641">
        <f t="shared" si="41"/>
        <v>2.0143022780686321E-2</v>
      </c>
      <c r="F641">
        <f t="shared" si="42"/>
        <v>2.848866151662038E-2</v>
      </c>
      <c r="G641">
        <f t="shared" si="43"/>
        <v>-2.0143022780686321E-2</v>
      </c>
      <c r="H641">
        <f t="shared" si="44"/>
        <v>-2.848866151662038E-2</v>
      </c>
    </row>
    <row r="642" spans="1:8" x14ac:dyDescent="0.2">
      <c r="A642" s="1">
        <v>45337</v>
      </c>
      <c r="B642">
        <v>182.202</v>
      </c>
      <c r="C642">
        <f t="shared" si="39"/>
        <v>-1.568455722017445E-3</v>
      </c>
      <c r="D642">
        <f t="shared" si="40"/>
        <v>1.2226320070732457E-2</v>
      </c>
      <c r="E642">
        <f t="shared" si="41"/>
        <v>2.0110506912613853E-2</v>
      </c>
      <c r="F642">
        <f t="shared" si="42"/>
        <v>2.8442673703891311E-2</v>
      </c>
      <c r="G642">
        <f t="shared" si="43"/>
        <v>-2.0110506912613853E-2</v>
      </c>
      <c r="H642">
        <f t="shared" si="44"/>
        <v>-2.8442673703891311E-2</v>
      </c>
    </row>
    <row r="643" spans="1:8" x14ac:dyDescent="0.2">
      <c r="A643" s="1">
        <v>45338</v>
      </c>
      <c r="B643">
        <v>180.666</v>
      </c>
      <c r="C643">
        <f t="shared" ref="C643:C706" si="45">LN(B643/B642)</f>
        <v>-8.4659389861920752E-3</v>
      </c>
      <c r="D643">
        <f t="shared" si="40"/>
        <v>1.2228871320822812E-2</v>
      </c>
      <c r="E643">
        <f t="shared" si="41"/>
        <v>2.0114703345578234E-2</v>
      </c>
      <c r="F643">
        <f t="shared" si="42"/>
        <v>2.8448608799115156E-2</v>
      </c>
      <c r="G643">
        <f t="shared" si="43"/>
        <v>-2.0114703345578234E-2</v>
      </c>
      <c r="H643">
        <f t="shared" si="44"/>
        <v>-2.8448608799115156E-2</v>
      </c>
    </row>
    <row r="644" spans="1:8" x14ac:dyDescent="0.2">
      <c r="A644" s="1">
        <v>45342</v>
      </c>
      <c r="B644">
        <v>179.92099999999999</v>
      </c>
      <c r="C644">
        <f t="shared" si="45"/>
        <v>-4.1321570664242446E-3</v>
      </c>
      <c r="D644">
        <f t="shared" si="40"/>
        <v>1.2105092766121445E-2</v>
      </c>
      <c r="E644">
        <f t="shared" si="41"/>
        <v>1.9911105740938882E-2</v>
      </c>
      <c r="F644">
        <f t="shared" si="42"/>
        <v>2.8160656821533785E-2</v>
      </c>
      <c r="G644">
        <f t="shared" si="43"/>
        <v>-1.9911105740938882E-2</v>
      </c>
      <c r="H644">
        <f t="shared" si="44"/>
        <v>-2.8160656821533785E-2</v>
      </c>
    </row>
    <row r="645" spans="1:8" x14ac:dyDescent="0.2">
      <c r="A645" s="1">
        <v>45343</v>
      </c>
      <c r="B645">
        <v>180.67599999999999</v>
      </c>
      <c r="C645">
        <f t="shared" si="45"/>
        <v>4.1875062923794346E-3</v>
      </c>
      <c r="D645">
        <f t="shared" si="40"/>
        <v>1.2106252846268746E-2</v>
      </c>
      <c r="E645">
        <f t="shared" si="41"/>
        <v>1.9913013902976721E-2</v>
      </c>
      <c r="F645">
        <f t="shared" si="42"/>
        <v>2.8163355571518174E-2</v>
      </c>
      <c r="G645">
        <f t="shared" si="43"/>
        <v>-1.9913013902976721E-2</v>
      </c>
      <c r="H645">
        <f t="shared" si="44"/>
        <v>-2.8163355571518174E-2</v>
      </c>
    </row>
    <row r="646" spans="1:8" x14ac:dyDescent="0.2">
      <c r="A646" s="1">
        <v>45344</v>
      </c>
      <c r="B646">
        <v>182.70699999999999</v>
      </c>
      <c r="C646">
        <f t="shared" si="45"/>
        <v>1.1178404872453848E-2</v>
      </c>
      <c r="D646">
        <f t="shared" si="40"/>
        <v>1.2122965717865142E-2</v>
      </c>
      <c r="E646">
        <f t="shared" si="41"/>
        <v>1.9940504130438828E-2</v>
      </c>
      <c r="F646">
        <f t="shared" si="42"/>
        <v>2.8202235524825568E-2</v>
      </c>
      <c r="G646">
        <f t="shared" si="43"/>
        <v>-1.9940504130438828E-2</v>
      </c>
      <c r="H646">
        <f t="shared" si="44"/>
        <v>-2.8202235524825568E-2</v>
      </c>
    </row>
    <row r="647" spans="1:8" x14ac:dyDescent="0.2">
      <c r="A647" s="1">
        <v>45345</v>
      </c>
      <c r="B647">
        <v>180.87299999999999</v>
      </c>
      <c r="C647">
        <f t="shared" si="45"/>
        <v>-1.0088649295777418E-2</v>
      </c>
      <c r="D647">
        <f t="shared" si="40"/>
        <v>1.2082748718321197E-2</v>
      </c>
      <c r="E647">
        <f t="shared" si="41"/>
        <v>1.9874353052873866E-2</v>
      </c>
      <c r="F647">
        <f t="shared" si="42"/>
        <v>2.8108676793436208E-2</v>
      </c>
      <c r="G647">
        <f t="shared" si="43"/>
        <v>-1.9874353052873866E-2</v>
      </c>
      <c r="H647">
        <f t="shared" si="44"/>
        <v>-2.8108676793436208E-2</v>
      </c>
    </row>
    <row r="648" spans="1:8" x14ac:dyDescent="0.2">
      <c r="A648" s="1">
        <v>45348</v>
      </c>
      <c r="B648">
        <v>179.52699999999999</v>
      </c>
      <c r="C648">
        <f t="shared" si="45"/>
        <v>-7.4695130864550823E-3</v>
      </c>
      <c r="D648">
        <f t="shared" si="40"/>
        <v>1.208528850004665E-2</v>
      </c>
      <c r="E648">
        <f t="shared" si="41"/>
        <v>1.9878530622056641E-2</v>
      </c>
      <c r="F648">
        <f t="shared" si="42"/>
        <v>2.8114585209253744E-2</v>
      </c>
      <c r="G648">
        <f t="shared" si="43"/>
        <v>-1.9878530622056641E-2</v>
      </c>
      <c r="H648">
        <f t="shared" si="44"/>
        <v>-2.8114585209253744E-2</v>
      </c>
    </row>
    <row r="649" spans="1:8" x14ac:dyDescent="0.2">
      <c r="A649" s="1">
        <v>45349</v>
      </c>
      <c r="B649">
        <v>180.983</v>
      </c>
      <c r="C649">
        <f t="shared" si="45"/>
        <v>8.0774897588791333E-3</v>
      </c>
      <c r="D649">
        <f t="shared" si="40"/>
        <v>1.2090856495676422E-2</v>
      </c>
      <c r="E649">
        <f t="shared" si="41"/>
        <v>1.9887689159863123E-2</v>
      </c>
      <c r="F649">
        <f t="shared" si="42"/>
        <v>2.8127538304049734E-2</v>
      </c>
      <c r="G649">
        <f t="shared" si="43"/>
        <v>-1.9887689159863123E-2</v>
      </c>
      <c r="H649">
        <f t="shared" si="44"/>
        <v>-2.8127538304049734E-2</v>
      </c>
    </row>
    <row r="650" spans="1:8" x14ac:dyDescent="0.2">
      <c r="A650" s="1">
        <v>45350</v>
      </c>
      <c r="B650">
        <v>179.785</v>
      </c>
      <c r="C650">
        <f t="shared" si="45"/>
        <v>-6.6414116744294253E-3</v>
      </c>
      <c r="D650">
        <f t="shared" si="40"/>
        <v>1.206166753673441E-2</v>
      </c>
      <c r="E650">
        <f t="shared" si="41"/>
        <v>1.9839677594880416E-2</v>
      </c>
      <c r="F650">
        <f t="shared" si="42"/>
        <v>2.8059634631469519E-2</v>
      </c>
      <c r="G650">
        <f t="shared" si="43"/>
        <v>-1.9839677594880416E-2</v>
      </c>
      <c r="H650">
        <f t="shared" si="44"/>
        <v>-2.8059634631469519E-2</v>
      </c>
    </row>
    <row r="651" spans="1:8" x14ac:dyDescent="0.2">
      <c r="A651" s="1">
        <v>45351</v>
      </c>
      <c r="B651">
        <v>179.11799999999999</v>
      </c>
      <c r="C651">
        <f t="shared" si="45"/>
        <v>-3.7168859992643766E-3</v>
      </c>
      <c r="D651">
        <f t="shared" si="40"/>
        <v>1.2063482833174689E-2</v>
      </c>
      <c r="E651">
        <f t="shared" si="41"/>
        <v>1.98426634918142E-2</v>
      </c>
      <c r="F651">
        <f t="shared" si="42"/>
        <v>2.8063857642484116E-2</v>
      </c>
      <c r="G651">
        <f t="shared" si="43"/>
        <v>-1.98426634918142E-2</v>
      </c>
      <c r="H651">
        <f t="shared" si="44"/>
        <v>-2.8063857642484116E-2</v>
      </c>
    </row>
    <row r="652" spans="1:8" x14ac:dyDescent="0.2">
      <c r="A652" s="1">
        <v>45352</v>
      </c>
      <c r="B652">
        <v>178.04</v>
      </c>
      <c r="C652">
        <f t="shared" si="45"/>
        <v>-6.0365623815362372E-3</v>
      </c>
      <c r="D652">
        <f t="shared" si="40"/>
        <v>1.188068203030224E-2</v>
      </c>
      <c r="E652">
        <f t="shared" si="41"/>
        <v>1.9541982928199812E-2</v>
      </c>
      <c r="F652">
        <f t="shared" si="42"/>
        <v>2.7638599383348835E-2</v>
      </c>
      <c r="G652">
        <f t="shared" si="43"/>
        <v>-1.9541982928199812E-2</v>
      </c>
      <c r="H652">
        <f t="shared" si="44"/>
        <v>-2.7638599383348835E-2</v>
      </c>
    </row>
    <row r="653" spans="1:8" x14ac:dyDescent="0.2">
      <c r="A653" s="1">
        <v>45355</v>
      </c>
      <c r="B653">
        <v>173.52199999999999</v>
      </c>
      <c r="C653">
        <f t="shared" si="45"/>
        <v>-2.5703851646588609E-2</v>
      </c>
      <c r="D653">
        <f t="shared" si="40"/>
        <v>1.1944494472288646E-2</v>
      </c>
      <c r="E653">
        <f t="shared" si="41"/>
        <v>1.9646945054845783E-2</v>
      </c>
      <c r="F653">
        <f t="shared" si="42"/>
        <v>2.7787049322101263E-2</v>
      </c>
      <c r="G653">
        <f t="shared" si="43"/>
        <v>-1.9646945054845783E-2</v>
      </c>
      <c r="H653">
        <f t="shared" si="44"/>
        <v>-2.7787049322101263E-2</v>
      </c>
    </row>
    <row r="654" spans="1:8" x14ac:dyDescent="0.2">
      <c r="A654" s="1">
        <v>45356</v>
      </c>
      <c r="B654">
        <v>168.58600000000001</v>
      </c>
      <c r="C654">
        <f t="shared" si="45"/>
        <v>-2.8858387154481715E-2</v>
      </c>
      <c r="D654">
        <f t="shared" si="40"/>
        <v>1.2050601837755774E-2</v>
      </c>
      <c r="E654">
        <f t="shared" si="41"/>
        <v>1.9821476139780653E-2</v>
      </c>
      <c r="F654">
        <f t="shared" si="42"/>
        <v>2.8033891966175794E-2</v>
      </c>
      <c r="G654">
        <f t="shared" si="43"/>
        <v>-1.9821476139780653E-2</v>
      </c>
      <c r="H654">
        <f t="shared" si="44"/>
        <v>-2.8033891966175794E-2</v>
      </c>
    </row>
    <row r="655" spans="1:8" x14ac:dyDescent="0.2">
      <c r="A655" s="1">
        <v>45357</v>
      </c>
      <c r="B655">
        <v>167.595</v>
      </c>
      <c r="C655">
        <f t="shared" si="45"/>
        <v>-5.8956506791723049E-3</v>
      </c>
      <c r="D655">
        <f t="shared" si="40"/>
        <v>1.2046964989034655E-2</v>
      </c>
      <c r="E655">
        <f t="shared" si="41"/>
        <v>1.9815494055971047E-2</v>
      </c>
      <c r="F655">
        <f t="shared" si="42"/>
        <v>2.802543139088521E-2</v>
      </c>
      <c r="G655">
        <f t="shared" si="43"/>
        <v>-1.9815494055971047E-2</v>
      </c>
      <c r="H655">
        <f t="shared" si="44"/>
        <v>-2.802543139088521E-2</v>
      </c>
    </row>
    <row r="656" spans="1:8" x14ac:dyDescent="0.2">
      <c r="A656" s="1">
        <v>45358</v>
      </c>
      <c r="B656">
        <v>167.476</v>
      </c>
      <c r="C656">
        <f t="shared" si="45"/>
        <v>-7.1029725045249764E-4</v>
      </c>
      <c r="D656">
        <f t="shared" si="40"/>
        <v>1.2007158140264472E-2</v>
      </c>
      <c r="E656">
        <f t="shared" si="41"/>
        <v>1.9750017616393903E-2</v>
      </c>
      <c r="F656">
        <f t="shared" si="42"/>
        <v>2.793282681287643E-2</v>
      </c>
      <c r="G656">
        <f t="shared" si="43"/>
        <v>-1.9750017616393903E-2</v>
      </c>
      <c r="H656">
        <f t="shared" si="44"/>
        <v>-2.793282681287643E-2</v>
      </c>
    </row>
    <row r="657" spans="1:8" x14ac:dyDescent="0.2">
      <c r="A657" s="1">
        <v>45359</v>
      </c>
      <c r="B657">
        <v>169.191</v>
      </c>
      <c r="C657">
        <f t="shared" si="45"/>
        <v>1.0188196851085277E-2</v>
      </c>
      <c r="D657">
        <f t="shared" si="40"/>
        <v>1.198754861433853E-2</v>
      </c>
      <c r="E657">
        <f t="shared" si="41"/>
        <v>1.9717762816551819E-2</v>
      </c>
      <c r="F657">
        <f t="shared" si="42"/>
        <v>2.7887208233927666E-2</v>
      </c>
      <c r="G657">
        <f t="shared" si="43"/>
        <v>-1.9717762816551819E-2</v>
      </c>
      <c r="H657">
        <f t="shared" si="44"/>
        <v>-2.7887208233927666E-2</v>
      </c>
    </row>
    <row r="658" spans="1:8" x14ac:dyDescent="0.2">
      <c r="A658" s="1">
        <v>45362</v>
      </c>
      <c r="B658">
        <v>171.19300000000001</v>
      </c>
      <c r="C658">
        <f t="shared" si="45"/>
        <v>1.1763320753199687E-2</v>
      </c>
      <c r="D658">
        <f t="shared" si="40"/>
        <v>1.1981931417140249E-2</v>
      </c>
      <c r="E658">
        <f t="shared" si="41"/>
        <v>1.9708523349366923E-2</v>
      </c>
      <c r="F658">
        <f t="shared" si="42"/>
        <v>2.7874140679167377E-2</v>
      </c>
      <c r="G658">
        <f t="shared" si="43"/>
        <v>-1.9708523349366923E-2</v>
      </c>
      <c r="H658">
        <f t="shared" si="44"/>
        <v>-2.7874140679167377E-2</v>
      </c>
    </row>
    <row r="659" spans="1:8" x14ac:dyDescent="0.2">
      <c r="A659" s="1">
        <v>45363</v>
      </c>
      <c r="B659">
        <v>171.666</v>
      </c>
      <c r="C659">
        <f t="shared" si="45"/>
        <v>2.7591534716963455E-3</v>
      </c>
      <c r="D659">
        <f t="shared" si="40"/>
        <v>1.1952402782514372E-2</v>
      </c>
      <c r="E659">
        <f t="shared" si="41"/>
        <v>1.9659953067603625E-2</v>
      </c>
      <c r="F659">
        <f t="shared" si="42"/>
        <v>2.7805446802782137E-2</v>
      </c>
      <c r="G659">
        <f t="shared" si="43"/>
        <v>-1.9659953067603625E-2</v>
      </c>
      <c r="H659">
        <f t="shared" si="44"/>
        <v>-2.7805446802782137E-2</v>
      </c>
    </row>
    <row r="660" spans="1:8" x14ac:dyDescent="0.2">
      <c r="A660" s="1">
        <v>45364</v>
      </c>
      <c r="B660">
        <v>169.58500000000001</v>
      </c>
      <c r="C660">
        <f t="shared" si="45"/>
        <v>-1.2196452442711475E-2</v>
      </c>
      <c r="D660">
        <f t="shared" si="40"/>
        <v>1.1978694253972175E-2</v>
      </c>
      <c r="E660">
        <f t="shared" si="41"/>
        <v>1.9703198689788884E-2</v>
      </c>
      <c r="F660">
        <f t="shared" si="42"/>
        <v>2.7866609911513403E-2</v>
      </c>
      <c r="G660">
        <f t="shared" si="43"/>
        <v>-1.9703198689788884E-2</v>
      </c>
      <c r="H660">
        <f t="shared" si="44"/>
        <v>-2.7866609911513403E-2</v>
      </c>
    </row>
    <row r="661" spans="1:8" x14ac:dyDescent="0.2">
      <c r="A661" s="1">
        <v>45365</v>
      </c>
      <c r="B661">
        <v>171.44</v>
      </c>
      <c r="C661">
        <f t="shared" si="45"/>
        <v>1.0879075115092928E-2</v>
      </c>
      <c r="D661">
        <f t="shared" si="40"/>
        <v>1.1942182961418368E-2</v>
      </c>
      <c r="E661">
        <f t="shared" si="41"/>
        <v>1.9643142957807069E-2</v>
      </c>
      <c r="F661">
        <f t="shared" si="42"/>
        <v>2.7781671943702371E-2</v>
      </c>
      <c r="G661">
        <f t="shared" si="43"/>
        <v>-1.9643142957807069E-2</v>
      </c>
      <c r="H661">
        <f t="shared" si="44"/>
        <v>-2.7781671943702371E-2</v>
      </c>
    </row>
    <row r="662" spans="1:8" x14ac:dyDescent="0.2">
      <c r="A662" s="1">
        <v>45366</v>
      </c>
      <c r="B662">
        <v>171.06299999999999</v>
      </c>
      <c r="C662">
        <f t="shared" si="45"/>
        <v>-2.2014414604017134E-3</v>
      </c>
      <c r="D662">
        <f t="shared" si="40"/>
        <v>1.1937476602541854E-2</v>
      </c>
      <c r="E662">
        <f t="shared" si="41"/>
        <v>1.9635401686339298E-2</v>
      </c>
      <c r="F662">
        <f t="shared" si="42"/>
        <v>2.7770723315735522E-2</v>
      </c>
      <c r="G662">
        <f t="shared" si="43"/>
        <v>-1.9635401686339298E-2</v>
      </c>
      <c r="H662">
        <f t="shared" si="44"/>
        <v>-2.7770723315735522E-2</v>
      </c>
    </row>
    <row r="663" spans="1:8" x14ac:dyDescent="0.2">
      <c r="A663" s="1">
        <v>45369</v>
      </c>
      <c r="B663">
        <v>172.154</v>
      </c>
      <c r="C663">
        <f t="shared" si="45"/>
        <v>6.3575153600637421E-3</v>
      </c>
      <c r="D663">
        <f t="shared" si="40"/>
        <v>1.1905826144419639E-2</v>
      </c>
      <c r="E663">
        <f t="shared" si="41"/>
        <v>1.9583341315502299E-2</v>
      </c>
      <c r="F663">
        <f t="shared" si="42"/>
        <v>2.7697093339770489E-2</v>
      </c>
      <c r="G663">
        <f t="shared" si="43"/>
        <v>-1.9583341315502299E-2</v>
      </c>
      <c r="H663">
        <f t="shared" si="44"/>
        <v>-2.7697093339770489E-2</v>
      </c>
    </row>
    <row r="664" spans="1:8" x14ac:dyDescent="0.2">
      <c r="A664" s="1">
        <v>45370</v>
      </c>
      <c r="B664">
        <v>174.49199999999999</v>
      </c>
      <c r="C664">
        <f t="shared" si="45"/>
        <v>1.3489470254365216E-2</v>
      </c>
      <c r="D664">
        <f t="shared" si="40"/>
        <v>1.1912512792299377E-2</v>
      </c>
      <c r="E664">
        <f t="shared" si="41"/>
        <v>1.9594339872519434E-2</v>
      </c>
      <c r="F664">
        <f t="shared" si="42"/>
        <v>2.7712648808849976E-2</v>
      </c>
      <c r="G664">
        <f t="shared" si="43"/>
        <v>-1.9594339872519434E-2</v>
      </c>
      <c r="H664">
        <f t="shared" si="44"/>
        <v>-2.7712648808849976E-2</v>
      </c>
    </row>
    <row r="665" spans="1:8" x14ac:dyDescent="0.2">
      <c r="A665" s="1">
        <v>45371</v>
      </c>
      <c r="B665">
        <v>177.05799999999999</v>
      </c>
      <c r="C665">
        <f t="shared" si="45"/>
        <v>1.4598467193748934E-2</v>
      </c>
      <c r="D665">
        <f t="shared" si="40"/>
        <v>1.1930548943337843E-2</v>
      </c>
      <c r="E665">
        <f t="shared" si="41"/>
        <v>1.9624006700971298E-2</v>
      </c>
      <c r="F665">
        <f t="shared" si="42"/>
        <v>2.7754607170474191E-2</v>
      </c>
      <c r="G665">
        <f t="shared" si="43"/>
        <v>-1.9624006700971298E-2</v>
      </c>
      <c r="H665">
        <f t="shared" si="44"/>
        <v>-2.7754607170474191E-2</v>
      </c>
    </row>
    <row r="666" spans="1:8" x14ac:dyDescent="0.2">
      <c r="A666" s="1">
        <v>45372</v>
      </c>
      <c r="B666">
        <v>169.82400000000001</v>
      </c>
      <c r="C666">
        <f t="shared" si="45"/>
        <v>-4.171475586761339E-2</v>
      </c>
      <c r="D666">
        <f t="shared" si="40"/>
        <v>1.2218714746123379E-2</v>
      </c>
      <c r="E666">
        <f t="shared" si="41"/>
        <v>2.0097997266846468E-2</v>
      </c>
      <c r="F666">
        <f t="shared" si="42"/>
        <v>2.8424981073155595E-2</v>
      </c>
      <c r="G666">
        <f t="shared" si="43"/>
        <v>-2.0097997266846468E-2</v>
      </c>
      <c r="H666">
        <f t="shared" si="44"/>
        <v>-2.8424981073155595E-2</v>
      </c>
    </row>
    <row r="667" spans="1:8" x14ac:dyDescent="0.2">
      <c r="A667" s="1">
        <v>45373</v>
      </c>
      <c r="B667">
        <v>170.72499999999999</v>
      </c>
      <c r="C667">
        <f t="shared" si="45"/>
        <v>5.2914682016682807E-3</v>
      </c>
      <c r="D667">
        <f t="shared" si="40"/>
        <v>1.2212350869835036E-2</v>
      </c>
      <c r="E667">
        <f t="shared" si="41"/>
        <v>2.0087529621852118E-2</v>
      </c>
      <c r="F667">
        <f t="shared" si="42"/>
        <v>2.8410176483081549E-2</v>
      </c>
      <c r="G667">
        <f t="shared" si="43"/>
        <v>-2.0087529621852118E-2</v>
      </c>
      <c r="H667">
        <f t="shared" si="44"/>
        <v>-2.8410176483081549E-2</v>
      </c>
    </row>
    <row r="668" spans="1:8" x14ac:dyDescent="0.2">
      <c r="A668" s="1">
        <v>45376</v>
      </c>
      <c r="B668">
        <v>169.31</v>
      </c>
      <c r="C668">
        <f t="shared" si="45"/>
        <v>-8.3227207070124144E-3</v>
      </c>
      <c r="D668">
        <f t="shared" si="40"/>
        <v>1.2198146372308975E-2</v>
      </c>
      <c r="E668">
        <f t="shared" si="41"/>
        <v>2.0064165302577354E-2</v>
      </c>
      <c r="F668">
        <f t="shared" si="42"/>
        <v>2.8377131880459979E-2</v>
      </c>
      <c r="G668">
        <f t="shared" si="43"/>
        <v>-2.0064165302577354E-2</v>
      </c>
      <c r="H668">
        <f t="shared" si="44"/>
        <v>-2.8377131880459979E-2</v>
      </c>
    </row>
    <row r="669" spans="1:8" x14ac:dyDescent="0.2">
      <c r="A669" s="1">
        <v>45377</v>
      </c>
      <c r="B669">
        <v>168.18</v>
      </c>
      <c r="C669">
        <f t="shared" si="45"/>
        <v>-6.696519735388538E-3</v>
      </c>
      <c r="D669">
        <f t="shared" si="40"/>
        <v>1.2203195713694335E-2</v>
      </c>
      <c r="E669">
        <f t="shared" si="41"/>
        <v>2.0072470730068778E-2</v>
      </c>
      <c r="F669">
        <f t="shared" si="42"/>
        <v>2.8388878405057116E-2</v>
      </c>
      <c r="G669">
        <f t="shared" si="43"/>
        <v>-2.0072470730068778E-2</v>
      </c>
      <c r="H669">
        <f t="shared" si="44"/>
        <v>-2.8388878405057116E-2</v>
      </c>
    </row>
    <row r="670" spans="1:8" x14ac:dyDescent="0.2">
      <c r="A670" s="1">
        <v>45378</v>
      </c>
      <c r="B670">
        <v>171.74600000000001</v>
      </c>
      <c r="C670">
        <f t="shared" si="45"/>
        <v>2.0981806761287199E-2</v>
      </c>
      <c r="D670">
        <f t="shared" si="40"/>
        <v>1.2212309247387438E-2</v>
      </c>
      <c r="E670">
        <f t="shared" si="41"/>
        <v>2.0087461159018223E-2</v>
      </c>
      <c r="F670">
        <f t="shared" si="42"/>
        <v>2.8410079654789068E-2</v>
      </c>
      <c r="G670">
        <f t="shared" si="43"/>
        <v>-2.0087461159018223E-2</v>
      </c>
      <c r="H670">
        <f t="shared" si="44"/>
        <v>-2.8410079654789068E-2</v>
      </c>
    </row>
    <row r="671" spans="1:8" x14ac:dyDescent="0.2">
      <c r="A671" s="1">
        <v>45379</v>
      </c>
      <c r="B671">
        <v>169.93299999999999</v>
      </c>
      <c r="C671">
        <f t="shared" si="45"/>
        <v>-1.0612399447608153E-2</v>
      </c>
      <c r="D671">
        <f t="shared" si="40"/>
        <v>1.2216796168750049E-2</v>
      </c>
      <c r="E671">
        <f t="shared" si="41"/>
        <v>2.0094841487895358E-2</v>
      </c>
      <c r="F671">
        <f t="shared" si="42"/>
        <v>2.8420517794761964E-2</v>
      </c>
      <c r="G671">
        <f t="shared" si="43"/>
        <v>-2.0094841487895358E-2</v>
      </c>
      <c r="H671">
        <f t="shared" si="44"/>
        <v>-2.8420517794761964E-2</v>
      </c>
    </row>
    <row r="672" spans="1:8" x14ac:dyDescent="0.2">
      <c r="A672" s="1">
        <v>45383</v>
      </c>
      <c r="B672">
        <v>168.49700000000001</v>
      </c>
      <c r="C672">
        <f t="shared" si="45"/>
        <v>-8.4862962388131125E-3</v>
      </c>
      <c r="D672">
        <f t="shared" si="40"/>
        <v>1.2190472635235422E-2</v>
      </c>
      <c r="E672">
        <f t="shared" si="41"/>
        <v>2.0051543128319648E-2</v>
      </c>
      <c r="F672">
        <f t="shared" si="42"/>
        <v>2.8359280098532971E-2</v>
      </c>
      <c r="G672">
        <f t="shared" si="43"/>
        <v>-2.0051543128319648E-2</v>
      </c>
      <c r="H672">
        <f t="shared" si="44"/>
        <v>-2.8359280098532971E-2</v>
      </c>
    </row>
    <row r="673" spans="1:8" x14ac:dyDescent="0.2">
      <c r="A673" s="1">
        <v>45384</v>
      </c>
      <c r="B673">
        <v>167.31700000000001</v>
      </c>
      <c r="C673">
        <f t="shared" si="45"/>
        <v>-7.0277287818747416E-3</v>
      </c>
      <c r="D673">
        <f t="shared" si="40"/>
        <v>1.2189479674492836E-2</v>
      </c>
      <c r="E673">
        <f t="shared" si="41"/>
        <v>2.0049909853240785E-2</v>
      </c>
      <c r="F673">
        <f t="shared" si="42"/>
        <v>2.8356970126420449E-2</v>
      </c>
      <c r="G673">
        <f t="shared" si="43"/>
        <v>-2.0049909853240785E-2</v>
      </c>
      <c r="H673">
        <f t="shared" si="44"/>
        <v>-2.8356970126420449E-2</v>
      </c>
    </row>
    <row r="674" spans="1:8" x14ac:dyDescent="0.2">
      <c r="A674" s="1">
        <v>45385</v>
      </c>
      <c r="B674">
        <v>168.12</v>
      </c>
      <c r="C674">
        <f t="shared" si="45"/>
        <v>4.7877934391726776E-3</v>
      </c>
      <c r="D674">
        <f t="shared" si="40"/>
        <v>1.2191244384649686E-2</v>
      </c>
      <c r="E674">
        <f t="shared" si="41"/>
        <v>2.0052812543142798E-2</v>
      </c>
      <c r="F674">
        <f t="shared" si="42"/>
        <v>2.8361075456142134E-2</v>
      </c>
      <c r="G674">
        <f t="shared" si="43"/>
        <v>-2.0052812543142798E-2</v>
      </c>
      <c r="H674">
        <f t="shared" si="44"/>
        <v>-2.8361075456142134E-2</v>
      </c>
    </row>
    <row r="675" spans="1:8" x14ac:dyDescent="0.2">
      <c r="A675" s="1">
        <v>45386</v>
      </c>
      <c r="B675">
        <v>167.297</v>
      </c>
      <c r="C675">
        <f t="shared" si="45"/>
        <v>-4.9073341638513988E-3</v>
      </c>
      <c r="D675">
        <f t="shared" si="40"/>
        <v>1.2173646877359747E-2</v>
      </c>
      <c r="E675">
        <f t="shared" si="41"/>
        <v>2.0023867219451635E-2</v>
      </c>
      <c r="F675">
        <f t="shared" si="42"/>
        <v>2.8320137532469768E-2</v>
      </c>
      <c r="G675">
        <f t="shared" si="43"/>
        <v>-2.0023867219451635E-2</v>
      </c>
      <c r="H675">
        <f t="shared" si="44"/>
        <v>-2.8320137532469768E-2</v>
      </c>
    </row>
    <row r="676" spans="1:8" x14ac:dyDescent="0.2">
      <c r="A676" s="1">
        <v>45387</v>
      </c>
      <c r="B676">
        <v>168.05</v>
      </c>
      <c r="C676">
        <f t="shared" si="45"/>
        <v>4.4908781980501564E-3</v>
      </c>
      <c r="D676">
        <f t="shared" si="40"/>
        <v>1.217204437688533E-2</v>
      </c>
      <c r="E676">
        <f t="shared" si="41"/>
        <v>2.0021231340734101E-2</v>
      </c>
      <c r="F676">
        <f t="shared" si="42"/>
        <v>2.8316409558897956E-2</v>
      </c>
      <c r="G676">
        <f t="shared" si="43"/>
        <v>-2.0021231340734101E-2</v>
      </c>
      <c r="H676">
        <f t="shared" si="44"/>
        <v>-2.8316409558897956E-2</v>
      </c>
    </row>
    <row r="677" spans="1:8" x14ac:dyDescent="0.2">
      <c r="A677" s="1">
        <v>45390</v>
      </c>
      <c r="B677">
        <v>166.93100000000001</v>
      </c>
      <c r="C677">
        <f t="shared" si="45"/>
        <v>-6.6810007868064007E-3</v>
      </c>
      <c r="D677">
        <f t="shared" si="40"/>
        <v>1.2136076935403044E-2</v>
      </c>
      <c r="E677">
        <f t="shared" si="41"/>
        <v>1.9962070164159795E-2</v>
      </c>
      <c r="F677">
        <f t="shared" si="42"/>
        <v>2.8232736777870953E-2</v>
      </c>
      <c r="G677">
        <f t="shared" si="43"/>
        <v>-1.9962070164159795E-2</v>
      </c>
      <c r="H677">
        <f t="shared" si="44"/>
        <v>-2.8232736777870953E-2</v>
      </c>
    </row>
    <row r="678" spans="1:8" x14ac:dyDescent="0.2">
      <c r="A678" s="1">
        <v>45391</v>
      </c>
      <c r="B678">
        <v>168.14</v>
      </c>
      <c r="C678">
        <f t="shared" si="45"/>
        <v>7.2164123228423537E-3</v>
      </c>
      <c r="D678">
        <f t="shared" si="40"/>
        <v>1.2134079385230387E-2</v>
      </c>
      <c r="E678">
        <f t="shared" si="41"/>
        <v>1.9958784486513285E-2</v>
      </c>
      <c r="F678">
        <f t="shared" si="42"/>
        <v>2.8228089781273502E-2</v>
      </c>
      <c r="G678">
        <f t="shared" si="43"/>
        <v>-1.9958784486513285E-2</v>
      </c>
      <c r="H678">
        <f t="shared" si="44"/>
        <v>-2.8228089781273502E-2</v>
      </c>
    </row>
    <row r="679" spans="1:8" x14ac:dyDescent="0.2">
      <c r="A679" s="1">
        <v>45392</v>
      </c>
      <c r="B679">
        <v>166.26599999999999</v>
      </c>
      <c r="C679">
        <f t="shared" si="45"/>
        <v>-1.1208050200513048E-2</v>
      </c>
      <c r="D679">
        <f t="shared" si="40"/>
        <v>1.2152198881060332E-2</v>
      </c>
      <c r="E679">
        <f t="shared" si="41"/>
        <v>1.9988588404947702E-2</v>
      </c>
      <c r="F679">
        <f t="shared" si="42"/>
        <v>2.8270242031876187E-2</v>
      </c>
      <c r="G679">
        <f t="shared" si="43"/>
        <v>-1.9988588404947702E-2</v>
      </c>
      <c r="H679">
        <f t="shared" si="44"/>
        <v>-2.8270242031876187E-2</v>
      </c>
    </row>
    <row r="680" spans="1:8" x14ac:dyDescent="0.2">
      <c r="A680" s="1">
        <v>45393</v>
      </c>
      <c r="B680">
        <v>173.46199999999999</v>
      </c>
      <c r="C680">
        <f t="shared" si="45"/>
        <v>4.2369639718944738E-2</v>
      </c>
      <c r="D680">
        <f t="shared" si="40"/>
        <v>1.2261851488872634E-2</v>
      </c>
      <c r="E680">
        <f t="shared" si="41"/>
        <v>2.0168950894612455E-2</v>
      </c>
      <c r="F680">
        <f t="shared" si="42"/>
        <v>2.8525332142943369E-2</v>
      </c>
      <c r="G680">
        <f t="shared" si="43"/>
        <v>-2.0168950894612455E-2</v>
      </c>
      <c r="H680">
        <f t="shared" si="44"/>
        <v>-2.8525332142943369E-2</v>
      </c>
    </row>
    <row r="681" spans="1:8" x14ac:dyDescent="0.2">
      <c r="A681" s="1">
        <v>45394</v>
      </c>
      <c r="B681">
        <v>174.95699999999999</v>
      </c>
      <c r="C681">
        <f t="shared" si="45"/>
        <v>8.5816742195162221E-3</v>
      </c>
      <c r="D681">
        <f t="shared" si="40"/>
        <v>1.2272248708749506E-2</v>
      </c>
      <c r="E681">
        <f t="shared" si="41"/>
        <v>2.0186052799437137E-2</v>
      </c>
      <c r="F681">
        <f t="shared" si="42"/>
        <v>2.8549519693299868E-2</v>
      </c>
      <c r="G681">
        <f t="shared" si="43"/>
        <v>-2.0186052799437137E-2</v>
      </c>
      <c r="H681">
        <f t="shared" si="44"/>
        <v>-2.8549519693299868E-2</v>
      </c>
    </row>
    <row r="682" spans="1:8" x14ac:dyDescent="0.2">
      <c r="A682" s="1">
        <v>45397</v>
      </c>
      <c r="B682">
        <v>171.13300000000001</v>
      </c>
      <c r="C682">
        <f t="shared" si="45"/>
        <v>-2.2099197477052367E-2</v>
      </c>
      <c r="D682">
        <f t="shared" si="40"/>
        <v>1.2353648400619593E-2</v>
      </c>
      <c r="E682">
        <f t="shared" si="41"/>
        <v>2.0319943377842382E-2</v>
      </c>
      <c r="F682">
        <f t="shared" si="42"/>
        <v>2.8738883693429425E-2</v>
      </c>
      <c r="G682">
        <f t="shared" si="43"/>
        <v>-2.0319943377842382E-2</v>
      </c>
      <c r="H682">
        <f t="shared" si="44"/>
        <v>-2.8738883693429425E-2</v>
      </c>
    </row>
    <row r="683" spans="1:8" x14ac:dyDescent="0.2">
      <c r="A683" s="1">
        <v>45398</v>
      </c>
      <c r="B683">
        <v>167.852</v>
      </c>
      <c r="C683">
        <f t="shared" si="45"/>
        <v>-1.9358393212334794E-2</v>
      </c>
      <c r="D683">
        <f t="shared" si="40"/>
        <v>1.2406610348633411E-2</v>
      </c>
      <c r="E683">
        <f t="shared" si="41"/>
        <v>2.0407058030123326E-2</v>
      </c>
      <c r="F683">
        <f t="shared" si="42"/>
        <v>2.886209160859643E-2</v>
      </c>
      <c r="G683">
        <f t="shared" si="43"/>
        <v>-2.0407058030123326E-2</v>
      </c>
      <c r="H683">
        <f t="shared" si="44"/>
        <v>-2.886209160859643E-2</v>
      </c>
    </row>
    <row r="684" spans="1:8" x14ac:dyDescent="0.2">
      <c r="A684" s="1">
        <v>45399</v>
      </c>
      <c r="B684">
        <v>166.48400000000001</v>
      </c>
      <c r="C684">
        <f t="shared" si="45"/>
        <v>-8.1834300488346605E-3</v>
      </c>
      <c r="D684">
        <f t="shared" si="40"/>
        <v>1.24099593222521E-2</v>
      </c>
      <c r="E684">
        <f t="shared" si="41"/>
        <v>2.0412566601526592E-2</v>
      </c>
      <c r="F684">
        <f t="shared" si="42"/>
        <v>2.8869882486254484E-2</v>
      </c>
      <c r="G684">
        <f t="shared" si="43"/>
        <v>-2.0412566601526592E-2</v>
      </c>
      <c r="H684">
        <f t="shared" si="44"/>
        <v>-2.8869882486254484E-2</v>
      </c>
    </row>
    <row r="685" spans="1:8" x14ac:dyDescent="0.2">
      <c r="A685" s="1">
        <v>45400</v>
      </c>
      <c r="B685">
        <v>165.53299999999999</v>
      </c>
      <c r="C685">
        <f t="shared" si="45"/>
        <v>-5.7286379960609455E-3</v>
      </c>
      <c r="D685">
        <f t="shared" si="40"/>
        <v>1.2409716876289362E-2</v>
      </c>
      <c r="E685">
        <f t="shared" si="41"/>
        <v>2.0412167813405442E-2</v>
      </c>
      <c r="F685">
        <f t="shared" si="42"/>
        <v>2.8869318472604499E-2</v>
      </c>
      <c r="G685">
        <f t="shared" si="43"/>
        <v>-2.0412167813405442E-2</v>
      </c>
      <c r="H685">
        <f t="shared" si="44"/>
        <v>-2.8869318472604499E-2</v>
      </c>
    </row>
    <row r="686" spans="1:8" x14ac:dyDescent="0.2">
      <c r="A686" s="1">
        <v>45401</v>
      </c>
      <c r="B686">
        <v>163.44300000000001</v>
      </c>
      <c r="C686">
        <f t="shared" si="45"/>
        <v>-1.2706265010141604E-2</v>
      </c>
      <c r="D686">
        <f t="shared" si="40"/>
        <v>1.2420221567387995E-2</v>
      </c>
      <c r="E686">
        <f t="shared" si="41"/>
        <v>2.0429446492659032E-2</v>
      </c>
      <c r="F686">
        <f t="shared" si="42"/>
        <v>2.8893756038409261E-2</v>
      </c>
      <c r="G686">
        <f t="shared" si="43"/>
        <v>-2.0429446492659032E-2</v>
      </c>
      <c r="H686">
        <f t="shared" si="44"/>
        <v>-2.8893756038409261E-2</v>
      </c>
    </row>
    <row r="687" spans="1:8" x14ac:dyDescent="0.2">
      <c r="A687" s="1">
        <v>45404</v>
      </c>
      <c r="B687">
        <v>164.345</v>
      </c>
      <c r="C687">
        <f t="shared" si="45"/>
        <v>5.5035710687648979E-3</v>
      </c>
      <c r="D687">
        <f t="shared" si="40"/>
        <v>1.2424512173327471E-2</v>
      </c>
      <c r="E687">
        <f t="shared" si="41"/>
        <v>2.0436503911400401E-2</v>
      </c>
      <c r="F687">
        <f t="shared" si="42"/>
        <v>2.8903737480414908E-2</v>
      </c>
      <c r="G687">
        <f t="shared" si="43"/>
        <v>-2.0436503911400401E-2</v>
      </c>
      <c r="H687">
        <f t="shared" si="44"/>
        <v>-2.8903737480414908E-2</v>
      </c>
    </row>
    <row r="688" spans="1:8" x14ac:dyDescent="0.2">
      <c r="A688" s="1">
        <v>45405</v>
      </c>
      <c r="B688">
        <v>165.39400000000001</v>
      </c>
      <c r="C688">
        <f t="shared" si="45"/>
        <v>6.3626294668889293E-3</v>
      </c>
      <c r="D688">
        <f t="shared" si="40"/>
        <v>1.241614809711989E-2</v>
      </c>
      <c r="E688">
        <f t="shared" si="41"/>
        <v>2.0422746230314263E-2</v>
      </c>
      <c r="F688">
        <f t="shared" si="42"/>
        <v>2.8884279729511086E-2</v>
      </c>
      <c r="G688">
        <f t="shared" si="43"/>
        <v>-2.0422746230314263E-2</v>
      </c>
      <c r="H688">
        <f t="shared" si="44"/>
        <v>-2.8884279729511086E-2</v>
      </c>
    </row>
    <row r="689" spans="1:8" x14ac:dyDescent="0.2">
      <c r="A689" s="1">
        <v>45406</v>
      </c>
      <c r="B689">
        <v>167.49600000000001</v>
      </c>
      <c r="C689">
        <f t="shared" si="45"/>
        <v>1.2628964146632355E-2</v>
      </c>
      <c r="D689">
        <f t="shared" si="40"/>
        <v>1.2441413286955277E-2</v>
      </c>
      <c r="E689">
        <f t="shared" si="41"/>
        <v>2.0464303769450617E-2</v>
      </c>
      <c r="F689">
        <f t="shared" si="42"/>
        <v>2.894305535017188E-2</v>
      </c>
      <c r="G689">
        <f t="shared" si="43"/>
        <v>-2.0464303769450617E-2</v>
      </c>
      <c r="H689">
        <f t="shared" si="44"/>
        <v>-2.894305535017188E-2</v>
      </c>
    </row>
    <row r="690" spans="1:8" x14ac:dyDescent="0.2">
      <c r="A690" s="1">
        <v>45407</v>
      </c>
      <c r="B690">
        <v>168.35900000000001</v>
      </c>
      <c r="C690">
        <f t="shared" si="45"/>
        <v>5.1391338486456708E-3</v>
      </c>
      <c r="D690">
        <f t="shared" si="40"/>
        <v>1.2319217919327295E-2</v>
      </c>
      <c r="E690">
        <f t="shared" si="41"/>
        <v>2.0263310275811061E-2</v>
      </c>
      <c r="F690">
        <f t="shared" si="42"/>
        <v>2.8658786416472883E-2</v>
      </c>
      <c r="G690">
        <f t="shared" si="43"/>
        <v>-2.0263310275811061E-2</v>
      </c>
      <c r="H690">
        <f t="shared" si="44"/>
        <v>-2.8658786416472883E-2</v>
      </c>
    </row>
    <row r="691" spans="1:8" x14ac:dyDescent="0.2">
      <c r="A691" s="1">
        <v>45408</v>
      </c>
      <c r="B691">
        <v>167.773</v>
      </c>
      <c r="C691">
        <f t="shared" si="45"/>
        <v>-3.4867289855196543E-3</v>
      </c>
      <c r="D691">
        <f t="shared" si="40"/>
        <v>1.2312133079806086E-2</v>
      </c>
      <c r="E691">
        <f t="shared" si="41"/>
        <v>2.0251656751828231E-2</v>
      </c>
      <c r="F691">
        <f t="shared" si="42"/>
        <v>2.86423046151148E-2</v>
      </c>
      <c r="G691">
        <f t="shared" si="43"/>
        <v>-2.0251656751828231E-2</v>
      </c>
      <c r="H691">
        <f t="shared" si="44"/>
        <v>-2.86423046151148E-2</v>
      </c>
    </row>
    <row r="692" spans="1:8" x14ac:dyDescent="0.2">
      <c r="A692" s="1">
        <v>45411</v>
      </c>
      <c r="B692">
        <v>171.935</v>
      </c>
      <c r="C692">
        <f t="shared" si="45"/>
        <v>2.4504623165785992E-2</v>
      </c>
      <c r="D692">
        <f t="shared" si="40"/>
        <v>1.2409131501245405E-2</v>
      </c>
      <c r="E692">
        <f t="shared" si="41"/>
        <v>2.0411204957141264E-2</v>
      </c>
      <c r="F692">
        <f t="shared" si="42"/>
        <v>2.8867956686615473E-2</v>
      </c>
      <c r="G692">
        <f t="shared" si="43"/>
        <v>-2.0411204957141264E-2</v>
      </c>
      <c r="H692">
        <f t="shared" si="44"/>
        <v>-2.8867956686615473E-2</v>
      </c>
    </row>
    <row r="693" spans="1:8" x14ac:dyDescent="0.2">
      <c r="A693" s="1">
        <v>45412</v>
      </c>
      <c r="B693">
        <v>168.79300000000001</v>
      </c>
      <c r="C693">
        <f t="shared" si="45"/>
        <v>-1.8443386304198991E-2</v>
      </c>
      <c r="D693">
        <f t="shared" si="40"/>
        <v>1.245817317552457E-2</v>
      </c>
      <c r="E693">
        <f t="shared" si="41"/>
        <v>2.049187133295112E-2</v>
      </c>
      <c r="F693">
        <f t="shared" si="42"/>
        <v>2.8982044681314212E-2</v>
      </c>
      <c r="G693">
        <f t="shared" si="43"/>
        <v>-2.049187133295112E-2</v>
      </c>
      <c r="H693">
        <f t="shared" si="44"/>
        <v>-2.8982044681314212E-2</v>
      </c>
    </row>
    <row r="694" spans="1:8" x14ac:dyDescent="0.2">
      <c r="A694" s="1">
        <v>45413</v>
      </c>
      <c r="B694">
        <v>167.773</v>
      </c>
      <c r="C694">
        <f t="shared" si="45"/>
        <v>-6.0612368615869773E-3</v>
      </c>
      <c r="D694">
        <f t="shared" si="40"/>
        <v>1.2457293153999204E-2</v>
      </c>
      <c r="E694">
        <f t="shared" si="41"/>
        <v>2.0490423826353327E-2</v>
      </c>
      <c r="F694">
        <f t="shared" si="42"/>
        <v>2.8979997445109568E-2</v>
      </c>
      <c r="G694">
        <f t="shared" si="43"/>
        <v>-2.0490423826353327E-2</v>
      </c>
      <c r="H694">
        <f t="shared" si="44"/>
        <v>-2.8979997445109568E-2</v>
      </c>
    </row>
    <row r="695" spans="1:8" x14ac:dyDescent="0.2">
      <c r="A695" s="1">
        <v>45414</v>
      </c>
      <c r="B695">
        <v>171.47</v>
      </c>
      <c r="C695">
        <f t="shared" si="45"/>
        <v>2.1796448944673814E-2</v>
      </c>
      <c r="D695">
        <f t="shared" si="40"/>
        <v>1.2516440669219413E-2</v>
      </c>
      <c r="E695">
        <f t="shared" si="41"/>
        <v>2.0587712831288456E-2</v>
      </c>
      <c r="F695">
        <f t="shared" si="42"/>
        <v>2.9117595141396897E-2</v>
      </c>
      <c r="G695">
        <f t="shared" si="43"/>
        <v>-2.0587712831288456E-2</v>
      </c>
      <c r="H695">
        <f t="shared" si="44"/>
        <v>-2.9117595141396897E-2</v>
      </c>
    </row>
    <row r="696" spans="1:8" x14ac:dyDescent="0.2">
      <c r="A696" s="1">
        <v>45415</v>
      </c>
      <c r="B696">
        <v>181.726</v>
      </c>
      <c r="C696">
        <f t="shared" si="45"/>
        <v>5.8091733984994127E-2</v>
      </c>
      <c r="D696">
        <f t="shared" si="40"/>
        <v>1.2718049667270229E-2</v>
      </c>
      <c r="E696">
        <f t="shared" si="41"/>
        <v>2.0919330122958393E-2</v>
      </c>
      <c r="F696">
        <f t="shared" si="42"/>
        <v>2.9586607805399918E-2</v>
      </c>
      <c r="G696">
        <f t="shared" si="43"/>
        <v>-2.0919330122958393E-2</v>
      </c>
      <c r="H696">
        <f t="shared" si="44"/>
        <v>-2.9586607805399918E-2</v>
      </c>
    </row>
    <row r="697" spans="1:8" x14ac:dyDescent="0.2">
      <c r="A697" s="1">
        <v>45418</v>
      </c>
      <c r="B697">
        <v>180.071</v>
      </c>
      <c r="C697">
        <f t="shared" si="45"/>
        <v>-9.148840613858341E-3</v>
      </c>
      <c r="D697">
        <f t="shared" si="40"/>
        <v>1.2731849796886062E-2</v>
      </c>
      <c r="E697">
        <f t="shared" si="41"/>
        <v>2.0942029316209396E-2</v>
      </c>
      <c r="F697">
        <f t="shared" si="42"/>
        <v>2.9618711707593202E-2</v>
      </c>
      <c r="G697">
        <f t="shared" si="43"/>
        <v>-2.0942029316209396E-2</v>
      </c>
      <c r="H697">
        <f t="shared" si="44"/>
        <v>-2.9618711707593202E-2</v>
      </c>
    </row>
    <row r="698" spans="1:8" x14ac:dyDescent="0.2">
      <c r="A698" s="1">
        <v>45419</v>
      </c>
      <c r="B698">
        <v>180.75399999999999</v>
      </c>
      <c r="C698">
        <f t="shared" si="45"/>
        <v>3.7857732459444125E-3</v>
      </c>
      <c r="D698">
        <f t="shared" si="40"/>
        <v>1.2717288536611139E-2</v>
      </c>
      <c r="E698">
        <f t="shared" si="41"/>
        <v>2.0918078174433204E-2</v>
      </c>
      <c r="F698">
        <f t="shared" si="42"/>
        <v>2.9584837150709278E-2</v>
      </c>
      <c r="G698">
        <f t="shared" si="43"/>
        <v>-2.0918078174433204E-2</v>
      </c>
      <c r="H698">
        <f t="shared" si="44"/>
        <v>-2.9584837150709278E-2</v>
      </c>
    </row>
    <row r="699" spans="1:8" x14ac:dyDescent="0.2">
      <c r="A699" s="1">
        <v>45420</v>
      </c>
      <c r="B699">
        <v>181.09200000000001</v>
      </c>
      <c r="C699">
        <f t="shared" si="45"/>
        <v>1.8681986165737547E-3</v>
      </c>
      <c r="D699">
        <f t="shared" si="40"/>
        <v>1.2701655303915305E-2</v>
      </c>
      <c r="E699">
        <f t="shared" si="41"/>
        <v>2.0892363794932485E-2</v>
      </c>
      <c r="F699">
        <f t="shared" si="42"/>
        <v>2.9548468813062941E-2</v>
      </c>
      <c r="G699">
        <f t="shared" si="43"/>
        <v>-2.0892363794932485E-2</v>
      </c>
      <c r="H699">
        <f t="shared" si="44"/>
        <v>-2.9548468813062941E-2</v>
      </c>
    </row>
    <row r="700" spans="1:8" x14ac:dyDescent="0.2">
      <c r="A700" s="1">
        <v>45421</v>
      </c>
      <c r="B700">
        <v>182.90600000000001</v>
      </c>
      <c r="C700">
        <f t="shared" si="45"/>
        <v>9.9671702457125224E-3</v>
      </c>
      <c r="D700">
        <f t="shared" si="40"/>
        <v>1.2716465755779135E-2</v>
      </c>
      <c r="E700">
        <f t="shared" si="41"/>
        <v>2.0916724820397498E-2</v>
      </c>
      <c r="F700">
        <f t="shared" si="42"/>
        <v>2.9582923076269946E-2</v>
      </c>
      <c r="G700">
        <f t="shared" si="43"/>
        <v>-2.0916724820397498E-2</v>
      </c>
      <c r="H700">
        <f t="shared" si="44"/>
        <v>-2.9582923076269946E-2</v>
      </c>
    </row>
    <row r="701" spans="1:8" x14ac:dyDescent="0.2">
      <c r="A701" s="1">
        <v>45422</v>
      </c>
      <c r="B701">
        <v>181.64400000000001</v>
      </c>
      <c r="C701">
        <f t="shared" si="45"/>
        <v>-6.9236321016978488E-3</v>
      </c>
      <c r="D701">
        <f t="shared" ref="D701:D764" si="46">_xlfn.STDEV.S(C452:C701)</f>
        <v>1.2719506661115711E-2</v>
      </c>
      <c r="E701">
        <f t="shared" ref="E701:E764" si="47">_xlfn.NORM.S.INV(0.95)*D701</f>
        <v>2.0921726664569578E-2</v>
      </c>
      <c r="F701">
        <f t="shared" ref="F701:F764" si="48">_xlfn.NORM.S.INV(0.99)*D701</f>
        <v>2.9589997279934846E-2</v>
      </c>
      <c r="G701">
        <f t="shared" ref="G701:G764" si="49">-E701</f>
        <v>-2.0921726664569578E-2</v>
      </c>
      <c r="H701">
        <f t="shared" ref="H701:H764" si="50">-F701</f>
        <v>-2.9589997279934846E-2</v>
      </c>
    </row>
    <row r="702" spans="1:8" x14ac:dyDescent="0.2">
      <c r="A702" s="1">
        <v>45425</v>
      </c>
      <c r="B702">
        <v>184.852</v>
      </c>
      <c r="C702">
        <f t="shared" si="45"/>
        <v>1.7506777339127325E-2</v>
      </c>
      <c r="D702">
        <f t="shared" si="46"/>
        <v>1.2764555389945339E-2</v>
      </c>
      <c r="E702">
        <f t="shared" si="47"/>
        <v>2.0995825229574546E-2</v>
      </c>
      <c r="F702">
        <f t="shared" si="48"/>
        <v>2.9694796294475894E-2</v>
      </c>
      <c r="G702">
        <f t="shared" si="49"/>
        <v>-2.0995825229574546E-2</v>
      </c>
      <c r="H702">
        <f t="shared" si="50"/>
        <v>-2.9694796294475894E-2</v>
      </c>
    </row>
    <row r="703" spans="1:8" x14ac:dyDescent="0.2">
      <c r="A703" s="1">
        <v>45426</v>
      </c>
      <c r="B703">
        <v>185.99199999999999</v>
      </c>
      <c r="C703">
        <f t="shared" si="45"/>
        <v>6.1481571279683386E-3</v>
      </c>
      <c r="D703">
        <f t="shared" si="46"/>
        <v>1.2769821892219823E-2</v>
      </c>
      <c r="E703">
        <f t="shared" si="47"/>
        <v>2.1004487854942078E-2</v>
      </c>
      <c r="F703">
        <f t="shared" si="48"/>
        <v>2.9707048010845772E-2</v>
      </c>
      <c r="G703">
        <f t="shared" si="49"/>
        <v>-2.1004487854942078E-2</v>
      </c>
      <c r="H703">
        <f t="shared" si="50"/>
        <v>-2.9707048010845772E-2</v>
      </c>
    </row>
    <row r="704" spans="1:8" x14ac:dyDescent="0.2">
      <c r="A704" s="1">
        <v>45427</v>
      </c>
      <c r="B704">
        <v>188.26400000000001</v>
      </c>
      <c r="C704">
        <f t="shared" si="45"/>
        <v>1.2141571069134906E-2</v>
      </c>
      <c r="D704">
        <f t="shared" si="46"/>
        <v>1.2789930946407143E-2</v>
      </c>
      <c r="E704">
        <f t="shared" si="47"/>
        <v>2.1037564305656658E-2</v>
      </c>
      <c r="F704">
        <f t="shared" si="48"/>
        <v>2.9753828666303415E-2</v>
      </c>
      <c r="G704">
        <f t="shared" si="49"/>
        <v>-2.1037564305656658E-2</v>
      </c>
      <c r="H704">
        <f t="shared" si="50"/>
        <v>-2.9753828666303415E-2</v>
      </c>
    </row>
    <row r="705" spans="1:8" x14ac:dyDescent="0.2">
      <c r="A705" s="1">
        <v>45428</v>
      </c>
      <c r="B705">
        <v>188.38399999999999</v>
      </c>
      <c r="C705">
        <f t="shared" si="45"/>
        <v>6.3719974119174651E-4</v>
      </c>
      <c r="D705">
        <f t="shared" si="46"/>
        <v>1.2762512523694765E-2</v>
      </c>
      <c r="E705">
        <f t="shared" si="47"/>
        <v>2.0992465013612911E-2</v>
      </c>
      <c r="F705">
        <f t="shared" si="48"/>
        <v>2.969004387691692E-2</v>
      </c>
      <c r="G705">
        <f t="shared" si="49"/>
        <v>-2.0992465013612911E-2</v>
      </c>
      <c r="H705">
        <f t="shared" si="50"/>
        <v>-2.969004387691692E-2</v>
      </c>
    </row>
    <row r="706" spans="1:8" x14ac:dyDescent="0.2">
      <c r="A706" s="1">
        <v>45429</v>
      </c>
      <c r="B706">
        <v>188.41300000000001</v>
      </c>
      <c r="C706">
        <f t="shared" si="45"/>
        <v>1.5392903901731333E-4</v>
      </c>
      <c r="D706">
        <f t="shared" si="46"/>
        <v>1.2762505899083407E-2</v>
      </c>
      <c r="E706">
        <f t="shared" si="47"/>
        <v>2.0992454117096892E-2</v>
      </c>
      <c r="F706">
        <f t="shared" si="48"/>
        <v>2.9690028465766374E-2</v>
      </c>
      <c r="G706">
        <f t="shared" si="49"/>
        <v>-2.0992454117096892E-2</v>
      </c>
      <c r="H706">
        <f t="shared" si="50"/>
        <v>-2.9690028465766374E-2</v>
      </c>
    </row>
    <row r="707" spans="1:8" x14ac:dyDescent="0.2">
      <c r="A707" s="1">
        <v>45432</v>
      </c>
      <c r="B707">
        <v>189.57400000000001</v>
      </c>
      <c r="C707">
        <f t="shared" ref="C707:C770" si="51">LN(B707/B706)</f>
        <v>6.1430877310777619E-3</v>
      </c>
      <c r="D707">
        <f t="shared" si="46"/>
        <v>1.2762342809043391E-2</v>
      </c>
      <c r="E707">
        <f t="shared" si="47"/>
        <v>2.0992185857853052E-2</v>
      </c>
      <c r="F707">
        <f t="shared" si="48"/>
        <v>2.9689649061598503E-2</v>
      </c>
      <c r="G707">
        <f t="shared" si="49"/>
        <v>-2.0992185857853052E-2</v>
      </c>
      <c r="H707">
        <f t="shared" si="50"/>
        <v>-2.9689649061598503E-2</v>
      </c>
    </row>
    <row r="708" spans="1:8" x14ac:dyDescent="0.2">
      <c r="A708" s="1">
        <v>45433</v>
      </c>
      <c r="B708">
        <v>190.874</v>
      </c>
      <c r="C708">
        <f t="shared" si="51"/>
        <v>6.8340748783476245E-3</v>
      </c>
      <c r="D708">
        <f t="shared" si="46"/>
        <v>1.2729991107547198E-2</v>
      </c>
      <c r="E708">
        <f t="shared" si="47"/>
        <v>2.0938972044308987E-2</v>
      </c>
      <c r="F708">
        <f t="shared" si="48"/>
        <v>2.9614387749601231E-2</v>
      </c>
      <c r="G708">
        <f t="shared" si="49"/>
        <v>-2.0938972044308987E-2</v>
      </c>
      <c r="H708">
        <f t="shared" si="50"/>
        <v>-2.9614387749601231E-2</v>
      </c>
    </row>
    <row r="709" spans="1:8" x14ac:dyDescent="0.2">
      <c r="A709" s="1">
        <v>45434</v>
      </c>
      <c r="B709">
        <v>189.435</v>
      </c>
      <c r="C709">
        <f t="shared" si="51"/>
        <v>-7.567566728050347E-3</v>
      </c>
      <c r="D709">
        <f t="shared" si="46"/>
        <v>1.2739944321517699E-2</v>
      </c>
      <c r="E709">
        <f t="shared" si="47"/>
        <v>2.0955343624408193E-2</v>
      </c>
      <c r="F709">
        <f t="shared" si="48"/>
        <v>2.9637542387761381E-2</v>
      </c>
      <c r="G709">
        <f t="shared" si="49"/>
        <v>-2.0955343624408193E-2</v>
      </c>
      <c r="H709">
        <f t="shared" si="50"/>
        <v>-2.9637542387761381E-2</v>
      </c>
    </row>
    <row r="710" spans="1:8" x14ac:dyDescent="0.2">
      <c r="A710" s="1">
        <v>45435</v>
      </c>
      <c r="B710">
        <v>185.44499999999999</v>
      </c>
      <c r="C710">
        <f t="shared" si="51"/>
        <v>-2.1287615639243078E-2</v>
      </c>
      <c r="D710">
        <f t="shared" si="46"/>
        <v>1.2807571024319658E-2</v>
      </c>
      <c r="E710">
        <f t="shared" si="47"/>
        <v>2.1066579651790762E-2</v>
      </c>
      <c r="F710">
        <f t="shared" si="48"/>
        <v>2.9794865624053108E-2</v>
      </c>
      <c r="G710">
        <f t="shared" si="49"/>
        <v>-2.1066579651790762E-2</v>
      </c>
      <c r="H710">
        <f t="shared" si="50"/>
        <v>-2.9794865624053108E-2</v>
      </c>
    </row>
    <row r="711" spans="1:8" x14ac:dyDescent="0.2">
      <c r="A711" s="1">
        <v>45436</v>
      </c>
      <c r="B711">
        <v>188.52199999999999</v>
      </c>
      <c r="C711">
        <f t="shared" si="51"/>
        <v>1.6456368826212514E-2</v>
      </c>
      <c r="D711">
        <f t="shared" si="46"/>
        <v>1.2819046682722312E-2</v>
      </c>
      <c r="E711">
        <f t="shared" si="47"/>
        <v>2.1085455430136023E-2</v>
      </c>
      <c r="F711">
        <f t="shared" si="48"/>
        <v>2.982156199758134E-2</v>
      </c>
      <c r="G711">
        <f t="shared" si="49"/>
        <v>-2.1085455430136023E-2</v>
      </c>
      <c r="H711">
        <f t="shared" si="50"/>
        <v>-2.982156199758134E-2</v>
      </c>
    </row>
    <row r="712" spans="1:8" x14ac:dyDescent="0.2">
      <c r="A712" s="1">
        <v>45440</v>
      </c>
      <c r="B712">
        <v>188.53200000000001</v>
      </c>
      <c r="C712">
        <f t="shared" si="51"/>
        <v>5.3042800248127412E-5</v>
      </c>
      <c r="D712">
        <f t="shared" si="46"/>
        <v>1.2802439169153954E-2</v>
      </c>
      <c r="E712">
        <f t="shared" si="47"/>
        <v>2.1058138501208464E-2</v>
      </c>
      <c r="F712">
        <f t="shared" si="48"/>
        <v>2.9782927143698488E-2</v>
      </c>
      <c r="G712">
        <f t="shared" si="49"/>
        <v>-2.1058138501208464E-2</v>
      </c>
      <c r="H712">
        <f t="shared" si="50"/>
        <v>-2.9782927143698488E-2</v>
      </c>
    </row>
    <row r="713" spans="1:8" x14ac:dyDescent="0.2">
      <c r="A713" s="1">
        <v>45441</v>
      </c>
      <c r="B713">
        <v>188.82900000000001</v>
      </c>
      <c r="C713">
        <f t="shared" si="51"/>
        <v>1.5740898573225362E-3</v>
      </c>
      <c r="D713">
        <f t="shared" si="46"/>
        <v>1.2802639138864634E-2</v>
      </c>
      <c r="E713">
        <f t="shared" si="47"/>
        <v>2.1058467422112356E-2</v>
      </c>
      <c r="F713">
        <f t="shared" si="48"/>
        <v>2.9783392342809804E-2</v>
      </c>
      <c r="G713">
        <f t="shared" si="49"/>
        <v>-2.1058467422112356E-2</v>
      </c>
      <c r="H713">
        <f t="shared" si="50"/>
        <v>-2.9783392342809804E-2</v>
      </c>
    </row>
    <row r="714" spans="1:8" x14ac:dyDescent="0.2">
      <c r="A714" s="1">
        <v>45442</v>
      </c>
      <c r="B714">
        <v>189.821</v>
      </c>
      <c r="C714">
        <f t="shared" si="51"/>
        <v>5.2396792264588479E-3</v>
      </c>
      <c r="D714">
        <f t="shared" si="46"/>
        <v>1.2768198637978817E-2</v>
      </c>
      <c r="E714">
        <f t="shared" si="47"/>
        <v>2.1001817839316296E-2</v>
      </c>
      <c r="F714">
        <f t="shared" si="48"/>
        <v>2.970327175679318E-2</v>
      </c>
      <c r="G714">
        <f t="shared" si="49"/>
        <v>-2.1001817839316296E-2</v>
      </c>
      <c r="H714">
        <f t="shared" si="50"/>
        <v>-2.970327175679318E-2</v>
      </c>
    </row>
    <row r="715" spans="1:8" x14ac:dyDescent="0.2">
      <c r="A715" s="1">
        <v>45443</v>
      </c>
      <c r="B715">
        <v>190.774</v>
      </c>
      <c r="C715">
        <f t="shared" si="51"/>
        <v>5.0079585477543938E-3</v>
      </c>
      <c r="D715">
        <f t="shared" si="46"/>
        <v>1.2768552486573081E-2</v>
      </c>
      <c r="E715">
        <f t="shared" si="47"/>
        <v>2.1002399868459962E-2</v>
      </c>
      <c r="F715">
        <f t="shared" si="48"/>
        <v>2.9704094931718179E-2</v>
      </c>
      <c r="G715">
        <f t="shared" si="49"/>
        <v>-2.1002399868459962E-2</v>
      </c>
      <c r="H715">
        <f t="shared" si="50"/>
        <v>-2.9704094931718179E-2</v>
      </c>
    </row>
    <row r="716" spans="1:8" x14ac:dyDescent="0.2">
      <c r="A716" s="1">
        <v>45446</v>
      </c>
      <c r="B716">
        <v>192.541</v>
      </c>
      <c r="C716">
        <f t="shared" si="51"/>
        <v>9.219636677315738E-3</v>
      </c>
      <c r="D716">
        <f t="shared" si="46"/>
        <v>1.2771254881903435E-2</v>
      </c>
      <c r="E716">
        <f t="shared" si="47"/>
        <v>2.1006844913220551E-2</v>
      </c>
      <c r="F716">
        <f t="shared" si="48"/>
        <v>2.9710381643349763E-2</v>
      </c>
      <c r="G716">
        <f t="shared" si="49"/>
        <v>-2.1006844913220551E-2</v>
      </c>
      <c r="H716">
        <f t="shared" si="50"/>
        <v>-2.9710381643349763E-2</v>
      </c>
    </row>
    <row r="717" spans="1:8" x14ac:dyDescent="0.2">
      <c r="A717" s="1">
        <v>45447</v>
      </c>
      <c r="B717">
        <v>192.85900000000001</v>
      </c>
      <c r="C717">
        <f t="shared" si="51"/>
        <v>1.6502338981146632E-3</v>
      </c>
      <c r="D717">
        <f t="shared" si="46"/>
        <v>1.277061602738077E-2</v>
      </c>
      <c r="E717">
        <f t="shared" si="47"/>
        <v>2.1005794091041852E-2</v>
      </c>
      <c r="F717">
        <f t="shared" si="48"/>
        <v>2.9708895445489141E-2</v>
      </c>
      <c r="G717">
        <f t="shared" si="49"/>
        <v>-2.1005794091041852E-2</v>
      </c>
      <c r="H717">
        <f t="shared" si="50"/>
        <v>-2.9708895445489141E-2</v>
      </c>
    </row>
    <row r="718" spans="1:8" x14ac:dyDescent="0.2">
      <c r="A718" s="1">
        <v>45448</v>
      </c>
      <c r="B718">
        <v>194.36600000000001</v>
      </c>
      <c r="C718">
        <f t="shared" si="51"/>
        <v>7.7836276502854769E-3</v>
      </c>
      <c r="D718">
        <f t="shared" si="46"/>
        <v>1.276877921724506E-2</v>
      </c>
      <c r="E718">
        <f t="shared" si="47"/>
        <v>2.1002772807228107E-2</v>
      </c>
      <c r="F718">
        <f t="shared" si="48"/>
        <v>2.9704622386134916E-2</v>
      </c>
      <c r="G718">
        <f t="shared" si="49"/>
        <v>-2.1002772807228107E-2</v>
      </c>
      <c r="H718">
        <f t="shared" si="50"/>
        <v>-2.9704622386134916E-2</v>
      </c>
    </row>
    <row r="719" spans="1:8" x14ac:dyDescent="0.2">
      <c r="A719" s="1">
        <v>45449</v>
      </c>
      <c r="B719">
        <v>192.988</v>
      </c>
      <c r="C719">
        <f t="shared" si="51"/>
        <v>-7.1149688046479934E-3</v>
      </c>
      <c r="D719">
        <f t="shared" si="46"/>
        <v>1.2742277744956279E-2</v>
      </c>
      <c r="E719">
        <f t="shared" si="47"/>
        <v>2.0959181764414352E-2</v>
      </c>
      <c r="F719">
        <f t="shared" si="48"/>
        <v>2.9642970742416959E-2</v>
      </c>
      <c r="G719">
        <f t="shared" si="49"/>
        <v>-2.0959181764414352E-2</v>
      </c>
      <c r="H719">
        <f t="shared" si="50"/>
        <v>-2.9642970742416959E-2</v>
      </c>
    </row>
    <row r="720" spans="1:8" x14ac:dyDescent="0.2">
      <c r="A720" s="1">
        <v>45450</v>
      </c>
      <c r="B720">
        <v>195.37799999999999</v>
      </c>
      <c r="C720">
        <f t="shared" si="51"/>
        <v>1.2308132904060234E-2</v>
      </c>
      <c r="D720">
        <f t="shared" si="46"/>
        <v>1.2764309154462496E-2</v>
      </c>
      <c r="E720">
        <f t="shared" si="47"/>
        <v>2.0995420208247507E-2</v>
      </c>
      <c r="F720">
        <f t="shared" si="48"/>
        <v>2.9694223465083869E-2</v>
      </c>
      <c r="G720">
        <f t="shared" si="49"/>
        <v>-2.0995420208247507E-2</v>
      </c>
      <c r="H720">
        <f t="shared" si="50"/>
        <v>-2.9694223465083869E-2</v>
      </c>
    </row>
    <row r="721" spans="1:8" x14ac:dyDescent="0.2">
      <c r="A721" s="1">
        <v>45453</v>
      </c>
      <c r="B721">
        <v>191.63800000000001</v>
      </c>
      <c r="C721">
        <f t="shared" si="51"/>
        <v>-1.9327967984267811E-2</v>
      </c>
      <c r="D721">
        <f t="shared" si="46"/>
        <v>1.2788353003801498E-2</v>
      </c>
      <c r="E721">
        <f t="shared" si="47"/>
        <v>2.1034968821038641E-2</v>
      </c>
      <c r="F721">
        <f t="shared" si="48"/>
        <v>2.9750157822877415E-2</v>
      </c>
      <c r="G721">
        <f t="shared" si="49"/>
        <v>-2.1034968821038641E-2</v>
      </c>
      <c r="H721">
        <f t="shared" si="50"/>
        <v>-2.9750157822877415E-2</v>
      </c>
    </row>
    <row r="722" spans="1:8" x14ac:dyDescent="0.2">
      <c r="A722" s="1">
        <v>45454</v>
      </c>
      <c r="B722">
        <v>205.56200000000001</v>
      </c>
      <c r="C722">
        <f t="shared" si="51"/>
        <v>7.0139515870202188E-2</v>
      </c>
      <c r="D722">
        <f t="shared" si="46"/>
        <v>1.3529913265207697E-2</v>
      </c>
      <c r="E722">
        <f t="shared" si="47"/>
        <v>2.2254726906615709E-2</v>
      </c>
      <c r="F722">
        <f t="shared" si="48"/>
        <v>3.1475284960472895E-2</v>
      </c>
      <c r="G722">
        <f t="shared" si="49"/>
        <v>-2.2254726906615709E-2</v>
      </c>
      <c r="H722">
        <f t="shared" si="50"/>
        <v>-3.1475284960472895E-2</v>
      </c>
    </row>
    <row r="723" spans="1:8" x14ac:dyDescent="0.2">
      <c r="A723" s="1">
        <v>45455</v>
      </c>
      <c r="B723">
        <v>211.43600000000001</v>
      </c>
      <c r="C723">
        <f t="shared" si="51"/>
        <v>2.8174660624698995E-2</v>
      </c>
      <c r="D723">
        <f t="shared" si="46"/>
        <v>1.3641366300140388E-2</v>
      </c>
      <c r="E723">
        <f t="shared" si="47"/>
        <v>2.2438050835359494E-2</v>
      </c>
      <c r="F723">
        <f t="shared" si="48"/>
        <v>3.1734563491343966E-2</v>
      </c>
      <c r="G723">
        <f t="shared" si="49"/>
        <v>-2.2438050835359494E-2</v>
      </c>
      <c r="H723">
        <f t="shared" si="50"/>
        <v>-3.1734563491343966E-2</v>
      </c>
    </row>
    <row r="724" spans="1:8" x14ac:dyDescent="0.2">
      <c r="A724" s="1">
        <v>45456</v>
      </c>
      <c r="B724">
        <v>212.595</v>
      </c>
      <c r="C724">
        <f t="shared" si="51"/>
        <v>5.4665950662201365E-3</v>
      </c>
      <c r="D724">
        <f t="shared" si="46"/>
        <v>1.3628490354796982E-2</v>
      </c>
      <c r="E724">
        <f t="shared" si="47"/>
        <v>2.2416871789960963E-2</v>
      </c>
      <c r="F724">
        <f t="shared" si="48"/>
        <v>3.1704609563268059E-2</v>
      </c>
      <c r="G724">
        <f t="shared" si="49"/>
        <v>-2.2416871789960963E-2</v>
      </c>
      <c r="H724">
        <f t="shared" si="50"/>
        <v>-3.1704609563268059E-2</v>
      </c>
    </row>
    <row r="725" spans="1:8" x14ac:dyDescent="0.2">
      <c r="A725" s="1">
        <v>45457</v>
      </c>
      <c r="B725">
        <v>210.85900000000001</v>
      </c>
      <c r="C725">
        <f t="shared" si="51"/>
        <v>-8.1992836325845211E-3</v>
      </c>
      <c r="D725">
        <f t="shared" si="46"/>
        <v>1.3633702782268557E-2</v>
      </c>
      <c r="E725">
        <f t="shared" si="47"/>
        <v>2.2425445470192804E-2</v>
      </c>
      <c r="F725">
        <f t="shared" si="48"/>
        <v>3.171673548283515E-2</v>
      </c>
      <c r="G725">
        <f t="shared" si="49"/>
        <v>-2.2425445470192804E-2</v>
      </c>
      <c r="H725">
        <f t="shared" si="50"/>
        <v>-3.171673548283515E-2</v>
      </c>
    </row>
    <row r="726" spans="1:8" x14ac:dyDescent="0.2">
      <c r="A726" s="1">
        <v>45460</v>
      </c>
      <c r="B726">
        <v>215.00800000000001</v>
      </c>
      <c r="C726">
        <f t="shared" si="51"/>
        <v>1.9485573083345569E-2</v>
      </c>
      <c r="D726">
        <f t="shared" si="46"/>
        <v>1.3686047252580366E-2</v>
      </c>
      <c r="E726">
        <f t="shared" si="47"/>
        <v>2.2511544462036036E-2</v>
      </c>
      <c r="F726">
        <f t="shared" si="48"/>
        <v>3.1838506930062821E-2</v>
      </c>
      <c r="G726">
        <f t="shared" si="49"/>
        <v>-2.2511544462036036E-2</v>
      </c>
      <c r="H726">
        <f t="shared" si="50"/>
        <v>-3.1838506930062821E-2</v>
      </c>
    </row>
    <row r="727" spans="1:8" x14ac:dyDescent="0.2">
      <c r="A727" s="1">
        <v>45461</v>
      </c>
      <c r="B727">
        <v>212.64500000000001</v>
      </c>
      <c r="C727">
        <f t="shared" si="51"/>
        <v>-1.1051128129011325E-2</v>
      </c>
      <c r="D727">
        <f t="shared" si="46"/>
        <v>1.3700210257355327E-2</v>
      </c>
      <c r="E727">
        <f t="shared" si="47"/>
        <v>2.2534840531808664E-2</v>
      </c>
      <c r="F727">
        <f t="shared" si="48"/>
        <v>3.1871455006111084E-2</v>
      </c>
      <c r="G727">
        <f t="shared" si="49"/>
        <v>-2.2534840531808664E-2</v>
      </c>
      <c r="H727">
        <f t="shared" si="50"/>
        <v>-3.1871455006111084E-2</v>
      </c>
    </row>
    <row r="728" spans="1:8" x14ac:dyDescent="0.2">
      <c r="A728" s="1">
        <v>45463</v>
      </c>
      <c r="B728">
        <v>208.07</v>
      </c>
      <c r="C728">
        <f t="shared" si="51"/>
        <v>-2.1749547062237726E-2</v>
      </c>
      <c r="D728">
        <f t="shared" si="46"/>
        <v>1.3736323742351959E-2</v>
      </c>
      <c r="E728">
        <f t="shared" si="47"/>
        <v>2.2594241928587232E-2</v>
      </c>
      <c r="F728">
        <f t="shared" si="48"/>
        <v>3.1955467535157205E-2</v>
      </c>
      <c r="G728">
        <f t="shared" si="49"/>
        <v>-2.2594241928587232E-2</v>
      </c>
      <c r="H728">
        <f t="shared" si="50"/>
        <v>-3.1955467535157205E-2</v>
      </c>
    </row>
    <row r="729" spans="1:8" x14ac:dyDescent="0.2">
      <c r="A729" s="1">
        <v>45464</v>
      </c>
      <c r="B729">
        <v>205.89699999999999</v>
      </c>
      <c r="C729">
        <f t="shared" si="51"/>
        <v>-1.0498517798591686E-2</v>
      </c>
      <c r="D729">
        <f t="shared" si="46"/>
        <v>1.37531852672128E-2</v>
      </c>
      <c r="E729">
        <f t="shared" si="47"/>
        <v>2.2621976668910516E-2</v>
      </c>
      <c r="F729">
        <f t="shared" si="48"/>
        <v>3.1994693307670311E-2</v>
      </c>
      <c r="G729">
        <f t="shared" si="49"/>
        <v>-2.2621976668910516E-2</v>
      </c>
      <c r="H729">
        <f t="shared" si="50"/>
        <v>-3.1994693307670311E-2</v>
      </c>
    </row>
    <row r="730" spans="1:8" x14ac:dyDescent="0.2">
      <c r="A730" s="1">
        <v>45467</v>
      </c>
      <c r="B730">
        <v>206.54300000000001</v>
      </c>
      <c r="C730">
        <f t="shared" si="51"/>
        <v>3.1325794213428819E-3</v>
      </c>
      <c r="D730">
        <f t="shared" si="46"/>
        <v>1.3744777025574311E-2</v>
      </c>
      <c r="E730">
        <f t="shared" si="47"/>
        <v>2.2608146342155164E-2</v>
      </c>
      <c r="F730">
        <f t="shared" si="48"/>
        <v>3.1975132812610191E-2</v>
      </c>
      <c r="G730">
        <f t="shared" si="49"/>
        <v>-2.2608146342155164E-2</v>
      </c>
      <c r="H730">
        <f t="shared" si="50"/>
        <v>-3.1975132812610191E-2</v>
      </c>
    </row>
    <row r="731" spans="1:8" x14ac:dyDescent="0.2">
      <c r="A731" s="1">
        <v>45468</v>
      </c>
      <c r="B731">
        <v>207.465</v>
      </c>
      <c r="C731">
        <f t="shared" si="51"/>
        <v>4.4540275755394227E-3</v>
      </c>
      <c r="D731">
        <f t="shared" si="46"/>
        <v>1.3716457838493198E-2</v>
      </c>
      <c r="E731">
        <f t="shared" si="47"/>
        <v>2.256156542457248E-2</v>
      </c>
      <c r="F731">
        <f t="shared" si="48"/>
        <v>3.1909252531949477E-2</v>
      </c>
      <c r="G731">
        <f t="shared" si="49"/>
        <v>-2.256156542457248E-2</v>
      </c>
      <c r="H731">
        <f t="shared" si="50"/>
        <v>-3.1909252531949477E-2</v>
      </c>
    </row>
    <row r="732" spans="1:8" x14ac:dyDescent="0.2">
      <c r="A732" s="1">
        <v>45469</v>
      </c>
      <c r="B732">
        <v>211.613</v>
      </c>
      <c r="C732">
        <f t="shared" si="51"/>
        <v>1.9796484025176087E-2</v>
      </c>
      <c r="D732">
        <f t="shared" si="46"/>
        <v>1.3766058373141319E-2</v>
      </c>
      <c r="E732">
        <f t="shared" si="47"/>
        <v>2.2643151043887172E-2</v>
      </c>
      <c r="F732">
        <f t="shared" si="48"/>
        <v>3.2024640630279426E-2</v>
      </c>
      <c r="G732">
        <f t="shared" si="49"/>
        <v>-2.2643151043887172E-2</v>
      </c>
      <c r="H732">
        <f t="shared" si="50"/>
        <v>-3.2024640630279426E-2</v>
      </c>
    </row>
    <row r="733" spans="1:8" x14ac:dyDescent="0.2">
      <c r="A733" s="1">
        <v>45470</v>
      </c>
      <c r="B733">
        <v>212.45599999999999</v>
      </c>
      <c r="C733">
        <f t="shared" si="51"/>
        <v>3.9757733313472128E-3</v>
      </c>
      <c r="D733">
        <f t="shared" si="46"/>
        <v>1.3767575139466241E-2</v>
      </c>
      <c r="E733">
        <f t="shared" si="47"/>
        <v>2.2645645902477959E-2</v>
      </c>
      <c r="F733">
        <f t="shared" si="48"/>
        <v>3.2028169156394823E-2</v>
      </c>
      <c r="G733">
        <f t="shared" si="49"/>
        <v>-2.2645645902477959E-2</v>
      </c>
      <c r="H733">
        <f t="shared" si="50"/>
        <v>-3.2028169156394823E-2</v>
      </c>
    </row>
    <row r="734" spans="1:8" x14ac:dyDescent="0.2">
      <c r="A734" s="1">
        <v>45471</v>
      </c>
      <c r="B734">
        <v>209.00200000000001</v>
      </c>
      <c r="C734">
        <f t="shared" si="51"/>
        <v>-1.6391086804288989E-2</v>
      </c>
      <c r="D734">
        <f t="shared" si="46"/>
        <v>1.373556348595043E-2</v>
      </c>
      <c r="E734">
        <f t="shared" si="47"/>
        <v>2.2592991418087762E-2</v>
      </c>
      <c r="F734">
        <f t="shared" si="48"/>
        <v>3.1953698914293782E-2</v>
      </c>
      <c r="G734">
        <f t="shared" si="49"/>
        <v>-2.2592991418087762E-2</v>
      </c>
      <c r="H734">
        <f t="shared" si="50"/>
        <v>-3.1953698914293782E-2</v>
      </c>
    </row>
    <row r="735" spans="1:8" x14ac:dyDescent="0.2">
      <c r="A735" s="1">
        <v>45474</v>
      </c>
      <c r="B735">
        <v>215.08500000000001</v>
      </c>
      <c r="C735">
        <f t="shared" si="51"/>
        <v>2.8689477538096881E-2</v>
      </c>
      <c r="D735">
        <f t="shared" si="46"/>
        <v>1.384203550233829E-2</v>
      </c>
      <c r="E735">
        <f t="shared" si="47"/>
        <v>2.2768122300412169E-2</v>
      </c>
      <c r="F735">
        <f t="shared" si="48"/>
        <v>3.2201389863262521E-2</v>
      </c>
      <c r="G735">
        <f t="shared" si="49"/>
        <v>-2.2768122300412169E-2</v>
      </c>
      <c r="H735">
        <f t="shared" si="50"/>
        <v>-3.2201389863262521E-2</v>
      </c>
    </row>
    <row r="736" spans="1:8" x14ac:dyDescent="0.2">
      <c r="A736" s="1">
        <v>45475</v>
      </c>
      <c r="B736">
        <v>218.578</v>
      </c>
      <c r="C736">
        <f t="shared" si="51"/>
        <v>1.610963140357877E-2</v>
      </c>
      <c r="D736">
        <f t="shared" si="46"/>
        <v>1.3871185917098277E-2</v>
      </c>
      <c r="E736">
        <f t="shared" si="47"/>
        <v>2.2816070465857274E-2</v>
      </c>
      <c r="F736">
        <f t="shared" si="48"/>
        <v>3.2269203868666829E-2</v>
      </c>
      <c r="G736">
        <f t="shared" si="49"/>
        <v>-2.2816070465857274E-2</v>
      </c>
      <c r="H736">
        <f t="shared" si="50"/>
        <v>-3.2269203868666829E-2</v>
      </c>
    </row>
    <row r="737" spans="1:8" x14ac:dyDescent="0.2">
      <c r="A737" s="1">
        <v>45476</v>
      </c>
      <c r="B737">
        <v>219.85</v>
      </c>
      <c r="C737">
        <f t="shared" si="51"/>
        <v>5.8025653881280557E-3</v>
      </c>
      <c r="D737">
        <f t="shared" si="46"/>
        <v>1.3874588833331545E-2</v>
      </c>
      <c r="E737">
        <f t="shared" si="47"/>
        <v>2.2821667764965779E-2</v>
      </c>
      <c r="F737">
        <f t="shared" si="48"/>
        <v>3.2277120235611627E-2</v>
      </c>
      <c r="G737">
        <f t="shared" si="49"/>
        <v>-2.2821667764965779E-2</v>
      </c>
      <c r="H737">
        <f t="shared" si="50"/>
        <v>-3.2277120235611627E-2</v>
      </c>
    </row>
    <row r="738" spans="1:8" x14ac:dyDescent="0.2">
      <c r="A738" s="1">
        <v>45478</v>
      </c>
      <c r="B738">
        <v>224.60400000000001</v>
      </c>
      <c r="C738">
        <f t="shared" si="51"/>
        <v>2.1393355957940171E-2</v>
      </c>
      <c r="D738">
        <f t="shared" si="46"/>
        <v>1.3930510083008798E-2</v>
      </c>
      <c r="E738">
        <f t="shared" si="47"/>
        <v>2.2913650035321066E-2</v>
      </c>
      <c r="F738">
        <f t="shared" si="48"/>
        <v>3.2407212515912012E-2</v>
      </c>
      <c r="G738">
        <f t="shared" si="49"/>
        <v>-2.2913650035321066E-2</v>
      </c>
      <c r="H738">
        <f t="shared" si="50"/>
        <v>-3.2407212515912012E-2</v>
      </c>
    </row>
    <row r="739" spans="1:8" x14ac:dyDescent="0.2">
      <c r="A739" s="1">
        <v>45481</v>
      </c>
      <c r="B739">
        <v>226.072</v>
      </c>
      <c r="C739">
        <f t="shared" si="51"/>
        <v>6.5146810211936723E-3</v>
      </c>
      <c r="D739">
        <f t="shared" si="46"/>
        <v>1.391570497677164E-2</v>
      </c>
      <c r="E739">
        <f t="shared" si="47"/>
        <v>2.2889297802629476E-2</v>
      </c>
      <c r="F739">
        <f t="shared" si="48"/>
        <v>3.2372770688492251E-2</v>
      </c>
      <c r="G739">
        <f t="shared" si="49"/>
        <v>-2.2889297802629476E-2</v>
      </c>
      <c r="H739">
        <f t="shared" si="50"/>
        <v>-3.2372770688492251E-2</v>
      </c>
    </row>
    <row r="740" spans="1:8" x14ac:dyDescent="0.2">
      <c r="A740" s="1">
        <v>45482</v>
      </c>
      <c r="B740">
        <v>226.92599999999999</v>
      </c>
      <c r="C740">
        <f t="shared" si="51"/>
        <v>3.770440539343924E-3</v>
      </c>
      <c r="D740">
        <f t="shared" si="46"/>
        <v>1.3915119218055735E-2</v>
      </c>
      <c r="E740">
        <f t="shared" si="47"/>
        <v>2.28883343152811E-2</v>
      </c>
      <c r="F740">
        <f t="shared" si="48"/>
        <v>3.2371408009948803E-2</v>
      </c>
      <c r="G740">
        <f t="shared" si="49"/>
        <v>-2.28883343152811E-2</v>
      </c>
      <c r="H740">
        <f t="shared" si="50"/>
        <v>-3.2371408009948803E-2</v>
      </c>
    </row>
    <row r="741" spans="1:8" x14ac:dyDescent="0.2">
      <c r="A741" s="1">
        <v>45483</v>
      </c>
      <c r="B741">
        <v>231.19300000000001</v>
      </c>
      <c r="C741">
        <f t="shared" si="51"/>
        <v>1.8628886377964407E-2</v>
      </c>
      <c r="D741">
        <f t="shared" si="46"/>
        <v>1.3951295316124671E-2</v>
      </c>
      <c r="E741">
        <f t="shared" si="47"/>
        <v>2.2947838701398739E-2</v>
      </c>
      <c r="F741">
        <f t="shared" si="48"/>
        <v>3.2455566198782565E-2</v>
      </c>
      <c r="G741">
        <f t="shared" si="49"/>
        <v>-2.2947838701398739E-2</v>
      </c>
      <c r="H741">
        <f t="shared" si="50"/>
        <v>-3.2455566198782565E-2</v>
      </c>
    </row>
    <row r="742" spans="1:8" x14ac:dyDescent="0.2">
      <c r="A742" s="1">
        <v>45484</v>
      </c>
      <c r="B742">
        <v>225.82400000000001</v>
      </c>
      <c r="C742">
        <f t="shared" si="51"/>
        <v>-2.3496924704841625E-2</v>
      </c>
      <c r="D742">
        <f t="shared" si="46"/>
        <v>1.4034391254280418E-2</v>
      </c>
      <c r="E742">
        <f t="shared" si="47"/>
        <v>2.3084519356659158E-2</v>
      </c>
      <c r="F742">
        <f t="shared" si="48"/>
        <v>3.2648876257852621E-2</v>
      </c>
      <c r="G742">
        <f t="shared" si="49"/>
        <v>-2.3084519356659158E-2</v>
      </c>
      <c r="H742">
        <f t="shared" si="50"/>
        <v>-3.2648876257852621E-2</v>
      </c>
    </row>
    <row r="743" spans="1:8" x14ac:dyDescent="0.2">
      <c r="A743" s="1">
        <v>45485</v>
      </c>
      <c r="B743">
        <v>228.77</v>
      </c>
      <c r="C743">
        <f t="shared" si="51"/>
        <v>1.2961197209272312E-2</v>
      </c>
      <c r="D743">
        <f t="shared" si="46"/>
        <v>1.4055689386386967E-2</v>
      </c>
      <c r="E743">
        <f t="shared" si="47"/>
        <v>2.3119551666501908E-2</v>
      </c>
      <c r="F743">
        <f t="shared" si="48"/>
        <v>3.2698423122199734E-2</v>
      </c>
      <c r="G743">
        <f t="shared" si="49"/>
        <v>-2.3119551666501908E-2</v>
      </c>
      <c r="H743">
        <f t="shared" si="50"/>
        <v>-3.2698423122199734E-2</v>
      </c>
    </row>
    <row r="744" spans="1:8" x14ac:dyDescent="0.2">
      <c r="A744" s="1">
        <v>45488</v>
      </c>
      <c r="B744">
        <v>232.601</v>
      </c>
      <c r="C744">
        <f t="shared" si="51"/>
        <v>1.6607407273769602E-2</v>
      </c>
      <c r="D744">
        <f t="shared" si="46"/>
        <v>1.4053191578048622E-2</v>
      </c>
      <c r="E744">
        <f t="shared" si="47"/>
        <v>2.3115443137397149E-2</v>
      </c>
      <c r="F744">
        <f t="shared" si="48"/>
        <v>3.2692612351082062E-2</v>
      </c>
      <c r="G744">
        <f t="shared" si="49"/>
        <v>-2.3115443137397149E-2</v>
      </c>
      <c r="H744">
        <f t="shared" si="50"/>
        <v>-3.2692612351082062E-2</v>
      </c>
    </row>
    <row r="745" spans="1:8" x14ac:dyDescent="0.2">
      <c r="A745" s="1">
        <v>45489</v>
      </c>
      <c r="B745">
        <v>233.01900000000001</v>
      </c>
      <c r="C745">
        <f t="shared" si="51"/>
        <v>1.7954560039986395E-3</v>
      </c>
      <c r="D745">
        <f t="shared" si="46"/>
        <v>1.4052694116208976E-2</v>
      </c>
      <c r="E745">
        <f t="shared" si="47"/>
        <v>2.3114624885485938E-2</v>
      </c>
      <c r="F745">
        <f t="shared" si="48"/>
        <v>3.269145508178898E-2</v>
      </c>
      <c r="G745">
        <f t="shared" si="49"/>
        <v>-2.3114624885485938E-2</v>
      </c>
      <c r="H745">
        <f t="shared" si="50"/>
        <v>-3.269145508178898E-2</v>
      </c>
    </row>
    <row r="746" spans="1:8" x14ac:dyDescent="0.2">
      <c r="A746" s="1">
        <v>45490</v>
      </c>
      <c r="B746">
        <v>227.12299999999999</v>
      </c>
      <c r="C746">
        <f t="shared" si="51"/>
        <v>-2.5628274351616114E-2</v>
      </c>
      <c r="D746">
        <f t="shared" si="46"/>
        <v>1.4145899302950795E-2</v>
      </c>
      <c r="E746">
        <f t="shared" si="47"/>
        <v>2.3267933774948908E-2</v>
      </c>
      <c r="F746">
        <f t="shared" si="48"/>
        <v>3.2908282769815389E-2</v>
      </c>
      <c r="G746">
        <f t="shared" si="49"/>
        <v>-2.3267933774948908E-2</v>
      </c>
      <c r="H746">
        <f t="shared" si="50"/>
        <v>-3.2908282769815389E-2</v>
      </c>
    </row>
    <row r="747" spans="1:8" x14ac:dyDescent="0.2">
      <c r="A747" s="1">
        <v>45491</v>
      </c>
      <c r="B747">
        <v>222.459</v>
      </c>
      <c r="C747">
        <f t="shared" si="51"/>
        <v>-2.0748905990210932E-2</v>
      </c>
      <c r="D747">
        <f t="shared" si="46"/>
        <v>1.4194207990352599E-2</v>
      </c>
      <c r="E747">
        <f t="shared" si="47"/>
        <v>2.3347394494635031E-2</v>
      </c>
      <c r="F747">
        <f t="shared" si="48"/>
        <v>3.3020665582050281E-2</v>
      </c>
      <c r="G747">
        <f t="shared" si="49"/>
        <v>-2.3347394494635031E-2</v>
      </c>
      <c r="H747">
        <f t="shared" si="50"/>
        <v>-3.3020665582050281E-2</v>
      </c>
    </row>
    <row r="748" spans="1:8" x14ac:dyDescent="0.2">
      <c r="A748" s="1">
        <v>45492</v>
      </c>
      <c r="B748">
        <v>222.589</v>
      </c>
      <c r="C748">
        <f t="shared" si="51"/>
        <v>5.842066639886195E-4</v>
      </c>
      <c r="D748">
        <f t="shared" si="46"/>
        <v>1.4187649001825405E-2</v>
      </c>
      <c r="E748">
        <f t="shared" si="47"/>
        <v>2.3336605918566941E-2</v>
      </c>
      <c r="F748">
        <f t="shared" si="48"/>
        <v>3.3005407093034185E-2</v>
      </c>
      <c r="G748">
        <f t="shared" si="49"/>
        <v>-2.3336605918566941E-2</v>
      </c>
      <c r="H748">
        <f t="shared" si="50"/>
        <v>-3.3005407093034185E-2</v>
      </c>
    </row>
    <row r="749" spans="1:8" x14ac:dyDescent="0.2">
      <c r="A749" s="1">
        <v>45495</v>
      </c>
      <c r="B749">
        <v>222.24100000000001</v>
      </c>
      <c r="C749">
        <f t="shared" si="51"/>
        <v>-1.5646429916826377E-3</v>
      </c>
      <c r="D749">
        <f t="shared" si="46"/>
        <v>1.4186517966648136E-2</v>
      </c>
      <c r="E749">
        <f t="shared" si="47"/>
        <v>2.3334745531253399E-2</v>
      </c>
      <c r="F749">
        <f t="shared" si="48"/>
        <v>3.300277591175408E-2</v>
      </c>
      <c r="G749">
        <f t="shared" si="49"/>
        <v>-2.3334745531253399E-2</v>
      </c>
      <c r="H749">
        <f t="shared" si="50"/>
        <v>-3.300277591175408E-2</v>
      </c>
    </row>
    <row r="750" spans="1:8" x14ac:dyDescent="0.2">
      <c r="A750" s="1">
        <v>45496</v>
      </c>
      <c r="B750">
        <v>223.28200000000001</v>
      </c>
      <c r="C750">
        <f t="shared" si="51"/>
        <v>4.6731679149631423E-3</v>
      </c>
      <c r="D750">
        <f t="shared" si="46"/>
        <v>1.4186701421525703E-2</v>
      </c>
      <c r="E750">
        <f t="shared" si="47"/>
        <v>2.333504728767415E-2</v>
      </c>
      <c r="F750">
        <f t="shared" si="48"/>
        <v>3.3003202691618494E-2</v>
      </c>
      <c r="G750">
        <f t="shared" si="49"/>
        <v>-2.333504728767415E-2</v>
      </c>
      <c r="H750">
        <f t="shared" si="50"/>
        <v>-3.3003202691618494E-2</v>
      </c>
    </row>
    <row r="751" spans="1:8" x14ac:dyDescent="0.2">
      <c r="A751" s="1">
        <v>45497</v>
      </c>
      <c r="B751">
        <v>216.863</v>
      </c>
      <c r="C751">
        <f t="shared" si="51"/>
        <v>-2.9169728792721394E-2</v>
      </c>
      <c r="D751">
        <f t="shared" si="46"/>
        <v>1.4309001402997701E-2</v>
      </c>
      <c r="E751">
        <f t="shared" si="47"/>
        <v>2.3536212855774463E-2</v>
      </c>
      <c r="F751">
        <f t="shared" si="48"/>
        <v>3.328771499351111E-2</v>
      </c>
      <c r="G751">
        <f t="shared" si="49"/>
        <v>-2.3536212855774463E-2</v>
      </c>
      <c r="H751">
        <f t="shared" si="50"/>
        <v>-3.328771499351111E-2</v>
      </c>
    </row>
    <row r="752" spans="1:8" x14ac:dyDescent="0.2">
      <c r="A752" s="1">
        <v>45498</v>
      </c>
      <c r="B752">
        <v>215.822</v>
      </c>
      <c r="C752">
        <f t="shared" si="51"/>
        <v>-4.8118238837874302E-3</v>
      </c>
      <c r="D752">
        <f t="shared" si="46"/>
        <v>1.4305869553404018E-2</v>
      </c>
      <c r="E752">
        <f t="shared" si="47"/>
        <v>2.3531061421611228E-2</v>
      </c>
      <c r="F752">
        <f t="shared" si="48"/>
        <v>3.3280429221867025E-2</v>
      </c>
      <c r="G752">
        <f t="shared" si="49"/>
        <v>-2.3531061421611228E-2</v>
      </c>
      <c r="H752">
        <f t="shared" si="50"/>
        <v>-3.3280429221867025E-2</v>
      </c>
    </row>
    <row r="753" spans="1:8" x14ac:dyDescent="0.2">
      <c r="A753" s="1">
        <v>45499</v>
      </c>
      <c r="B753">
        <v>216.28800000000001</v>
      </c>
      <c r="C753">
        <f t="shared" si="51"/>
        <v>2.1568590435501827E-3</v>
      </c>
      <c r="D753">
        <f t="shared" si="46"/>
        <v>1.4282693607560414E-2</v>
      </c>
      <c r="E753">
        <f t="shared" si="47"/>
        <v>2.3492940383032346E-2</v>
      </c>
      <c r="F753">
        <f t="shared" si="48"/>
        <v>3.3226513909524878E-2</v>
      </c>
      <c r="G753">
        <f t="shared" si="49"/>
        <v>-2.3492940383032346E-2</v>
      </c>
      <c r="H753">
        <f t="shared" si="50"/>
        <v>-3.3226513909524878E-2</v>
      </c>
    </row>
    <row r="754" spans="1:8" x14ac:dyDescent="0.2">
      <c r="A754" s="1">
        <v>45502</v>
      </c>
      <c r="B754">
        <v>216.565</v>
      </c>
      <c r="C754">
        <f t="shared" si="51"/>
        <v>1.2798804111910798E-3</v>
      </c>
      <c r="D754">
        <f t="shared" si="46"/>
        <v>1.4281754802886617E-2</v>
      </c>
      <c r="E754">
        <f t="shared" si="47"/>
        <v>2.3491396186759651E-2</v>
      </c>
      <c r="F754">
        <f t="shared" si="48"/>
        <v>3.3224329923267848E-2</v>
      </c>
      <c r="G754">
        <f t="shared" si="49"/>
        <v>-2.3491396186759651E-2</v>
      </c>
      <c r="H754">
        <f t="shared" si="50"/>
        <v>-3.3224329923267848E-2</v>
      </c>
    </row>
    <row r="755" spans="1:8" x14ac:dyDescent="0.2">
      <c r="A755" s="1">
        <v>45503</v>
      </c>
      <c r="B755">
        <v>217.12</v>
      </c>
      <c r="C755">
        <f t="shared" si="51"/>
        <v>2.5594627574243062E-3</v>
      </c>
      <c r="D755">
        <f t="shared" si="46"/>
        <v>1.4279169424364106E-2</v>
      </c>
      <c r="E755">
        <f t="shared" si="47"/>
        <v>2.3487143617519857E-2</v>
      </c>
      <c r="F755">
        <f t="shared" si="48"/>
        <v>3.3218315433438415E-2</v>
      </c>
      <c r="G755">
        <f t="shared" si="49"/>
        <v>-2.3487143617519857E-2</v>
      </c>
      <c r="H755">
        <f t="shared" si="50"/>
        <v>-3.3218315433438415E-2</v>
      </c>
    </row>
    <row r="756" spans="1:8" x14ac:dyDescent="0.2">
      <c r="A756" s="1">
        <v>45504</v>
      </c>
      <c r="B756">
        <v>220.375</v>
      </c>
      <c r="C756">
        <f t="shared" si="51"/>
        <v>1.4880444631475358E-2</v>
      </c>
      <c r="D756">
        <f t="shared" si="46"/>
        <v>1.4271646963213916E-2</v>
      </c>
      <c r="E756">
        <f t="shared" si="47"/>
        <v>2.3474770270013365E-2</v>
      </c>
      <c r="F756">
        <f t="shared" si="48"/>
        <v>3.3200815571934113E-2</v>
      </c>
      <c r="G756">
        <f t="shared" si="49"/>
        <v>-2.3474770270013365E-2</v>
      </c>
      <c r="H756">
        <f t="shared" si="50"/>
        <v>-3.3200815571934113E-2</v>
      </c>
    </row>
    <row r="757" spans="1:8" x14ac:dyDescent="0.2">
      <c r="A757" s="1">
        <v>45505</v>
      </c>
      <c r="B757">
        <v>216.685</v>
      </c>
      <c r="C757">
        <f t="shared" si="51"/>
        <v>-1.6885954691525533E-2</v>
      </c>
      <c r="D757">
        <f t="shared" si="46"/>
        <v>1.4305648625597505E-2</v>
      </c>
      <c r="E757">
        <f t="shared" si="47"/>
        <v>2.3530698027707391E-2</v>
      </c>
      <c r="F757">
        <f t="shared" si="48"/>
        <v>3.3279915266934031E-2</v>
      </c>
      <c r="G757">
        <f t="shared" si="49"/>
        <v>-2.3530698027707391E-2</v>
      </c>
      <c r="H757">
        <f t="shared" si="50"/>
        <v>-3.3279915266934031E-2</v>
      </c>
    </row>
    <row r="758" spans="1:8" x14ac:dyDescent="0.2">
      <c r="A758" s="1">
        <v>45506</v>
      </c>
      <c r="B758">
        <v>218.173</v>
      </c>
      <c r="C758">
        <f t="shared" si="51"/>
        <v>6.8436400277155501E-3</v>
      </c>
      <c r="D758">
        <f t="shared" si="46"/>
        <v>1.3957777921994059E-2</v>
      </c>
      <c r="E758">
        <f t="shared" si="47"/>
        <v>2.2958501639175101E-2</v>
      </c>
      <c r="F758">
        <f t="shared" si="48"/>
        <v>3.247064699516506E-2</v>
      </c>
      <c r="G758">
        <f t="shared" si="49"/>
        <v>-2.2958501639175101E-2</v>
      </c>
      <c r="H758">
        <f t="shared" si="50"/>
        <v>-3.247064699516506E-2</v>
      </c>
    </row>
    <row r="759" spans="1:8" x14ac:dyDescent="0.2">
      <c r="A759" s="1">
        <v>45509</v>
      </c>
      <c r="B759">
        <v>207.66499999999999</v>
      </c>
      <c r="C759">
        <f t="shared" si="51"/>
        <v>-4.9362121649269883E-2</v>
      </c>
      <c r="D759">
        <f t="shared" si="46"/>
        <v>1.4267843875486229E-2</v>
      </c>
      <c r="E759">
        <f t="shared" si="47"/>
        <v>2.3468514747370862E-2</v>
      </c>
      <c r="F759">
        <f t="shared" si="48"/>
        <v>3.3191968266884017E-2</v>
      </c>
      <c r="G759">
        <f t="shared" si="49"/>
        <v>-2.3468514747370862E-2</v>
      </c>
      <c r="H759">
        <f t="shared" si="50"/>
        <v>-3.3191968266884017E-2</v>
      </c>
    </row>
    <row r="760" spans="1:8" x14ac:dyDescent="0.2">
      <c r="A760" s="1">
        <v>45510</v>
      </c>
      <c r="B760">
        <v>205.64</v>
      </c>
      <c r="C760">
        <f t="shared" si="51"/>
        <v>-9.7991372176506036E-3</v>
      </c>
      <c r="D760">
        <f t="shared" si="46"/>
        <v>1.4280040078482539E-2</v>
      </c>
      <c r="E760">
        <f t="shared" si="47"/>
        <v>2.3488575716104382E-2</v>
      </c>
      <c r="F760">
        <f t="shared" si="48"/>
        <v>3.3220340877795858E-2</v>
      </c>
      <c r="G760">
        <f t="shared" si="49"/>
        <v>-2.3488575716104382E-2</v>
      </c>
      <c r="H760">
        <f t="shared" si="50"/>
        <v>-3.3220340877795858E-2</v>
      </c>
    </row>
    <row r="761" spans="1:8" x14ac:dyDescent="0.2">
      <c r="A761" s="1">
        <v>45511</v>
      </c>
      <c r="B761">
        <v>208.209</v>
      </c>
      <c r="C761">
        <f t="shared" si="51"/>
        <v>1.2415315724982034E-2</v>
      </c>
      <c r="D761">
        <f t="shared" si="46"/>
        <v>1.4286534882475327E-2</v>
      </c>
      <c r="E761">
        <f t="shared" si="47"/>
        <v>2.3499258718008256E-2</v>
      </c>
      <c r="F761">
        <f t="shared" si="48"/>
        <v>3.323545005125679E-2</v>
      </c>
      <c r="G761">
        <f t="shared" si="49"/>
        <v>-2.3499258718008256E-2</v>
      </c>
      <c r="H761">
        <f t="shared" si="50"/>
        <v>-3.323545005125679E-2</v>
      </c>
    </row>
    <row r="762" spans="1:8" x14ac:dyDescent="0.2">
      <c r="A762" s="1">
        <v>45512</v>
      </c>
      <c r="B762">
        <v>211.673</v>
      </c>
      <c r="C762">
        <f t="shared" si="51"/>
        <v>1.6500248124506577E-2</v>
      </c>
      <c r="D762">
        <f t="shared" si="46"/>
        <v>1.4321005368985593E-2</v>
      </c>
      <c r="E762">
        <f t="shared" si="47"/>
        <v>2.3555957622767451E-2</v>
      </c>
      <c r="F762">
        <f t="shared" si="48"/>
        <v>3.3315640394267099E-2</v>
      </c>
      <c r="G762">
        <f t="shared" si="49"/>
        <v>-2.3555957622767451E-2</v>
      </c>
      <c r="H762">
        <f t="shared" si="50"/>
        <v>-3.3315640394267099E-2</v>
      </c>
    </row>
    <row r="763" spans="1:8" x14ac:dyDescent="0.2">
      <c r="A763" s="1">
        <v>45513</v>
      </c>
      <c r="B763">
        <v>214.58099999999999</v>
      </c>
      <c r="C763">
        <f t="shared" si="51"/>
        <v>1.3644658427515935E-2</v>
      </c>
      <c r="D763">
        <f t="shared" si="46"/>
        <v>1.4344193262806516E-2</v>
      </c>
      <c r="E763">
        <f t="shared" si="47"/>
        <v>2.3594098314020161E-2</v>
      </c>
      <c r="F763">
        <f t="shared" si="48"/>
        <v>3.3369583501760891E-2</v>
      </c>
      <c r="G763">
        <f t="shared" si="49"/>
        <v>-2.3594098314020161E-2</v>
      </c>
      <c r="H763">
        <f t="shared" si="50"/>
        <v>-3.3369583501760891E-2</v>
      </c>
    </row>
    <row r="764" spans="1:8" x14ac:dyDescent="0.2">
      <c r="A764" s="1">
        <v>45516</v>
      </c>
      <c r="B764">
        <v>216.11</v>
      </c>
      <c r="C764">
        <f t="shared" si="51"/>
        <v>7.1002478506271031E-3</v>
      </c>
      <c r="D764">
        <f t="shared" si="46"/>
        <v>1.4339509204980389E-2</v>
      </c>
      <c r="E764">
        <f t="shared" si="47"/>
        <v>2.3586393724516003E-2</v>
      </c>
      <c r="F764">
        <f t="shared" si="48"/>
        <v>3.3358686753795191E-2</v>
      </c>
      <c r="G764">
        <f t="shared" si="49"/>
        <v>-2.3586393724516003E-2</v>
      </c>
      <c r="H764">
        <f t="shared" si="50"/>
        <v>-3.3358686753795191E-2</v>
      </c>
    </row>
    <row r="765" spans="1:8" x14ac:dyDescent="0.2">
      <c r="A765" s="1">
        <v>45517</v>
      </c>
      <c r="B765">
        <v>219.82599999999999</v>
      </c>
      <c r="C765">
        <f t="shared" si="51"/>
        <v>1.7048787012909614E-2</v>
      </c>
      <c r="D765">
        <f t="shared" ref="D765:D828" si="52">_xlfn.STDEV.S(C516:C765)</f>
        <v>1.4355719155538797E-2</v>
      </c>
      <c r="E765">
        <f t="shared" ref="E765:E828" si="53">_xlfn.NORM.S.INV(0.95)*D765</f>
        <v>2.3613056720484707E-2</v>
      </c>
      <c r="F765">
        <f t="shared" ref="F765:F828" si="54">_xlfn.NORM.S.INV(0.99)*D765</f>
        <v>3.3396396737815054E-2</v>
      </c>
      <c r="G765">
        <f t="shared" ref="G765:G828" si="55">-E765</f>
        <v>-2.3613056720484707E-2</v>
      </c>
      <c r="H765">
        <f t="shared" ref="H765:H828" si="56">-F765</f>
        <v>-3.3396396737815054E-2</v>
      </c>
    </row>
    <row r="766" spans="1:8" x14ac:dyDescent="0.2">
      <c r="A766" s="1">
        <v>45518</v>
      </c>
      <c r="B766">
        <v>220.273</v>
      </c>
      <c r="C766">
        <f t="shared" si="51"/>
        <v>2.0313618240875909E-3</v>
      </c>
      <c r="D766">
        <f t="shared" si="52"/>
        <v>1.4351039797730399E-2</v>
      </c>
      <c r="E766">
        <f t="shared" si="53"/>
        <v>2.3605359861821759E-2</v>
      </c>
      <c r="F766">
        <f t="shared" si="54"/>
        <v>3.338551092372561E-2</v>
      </c>
      <c r="G766">
        <f t="shared" si="55"/>
        <v>-2.3605359861821759E-2</v>
      </c>
      <c r="H766">
        <f t="shared" si="56"/>
        <v>-3.338551092372561E-2</v>
      </c>
    </row>
    <row r="767" spans="1:8" x14ac:dyDescent="0.2">
      <c r="A767" s="1">
        <v>45519</v>
      </c>
      <c r="B767">
        <v>223.25200000000001</v>
      </c>
      <c r="C767">
        <f t="shared" si="51"/>
        <v>1.3433492131177534E-2</v>
      </c>
      <c r="D767">
        <f t="shared" si="52"/>
        <v>1.4338447107983114E-2</v>
      </c>
      <c r="E767">
        <f t="shared" si="53"/>
        <v>2.3584646730417862E-2</v>
      </c>
      <c r="F767">
        <f t="shared" si="54"/>
        <v>3.3356215946703557E-2</v>
      </c>
      <c r="G767">
        <f t="shared" si="55"/>
        <v>-2.3584646730417862E-2</v>
      </c>
      <c r="H767">
        <f t="shared" si="56"/>
        <v>-3.3356215946703557E-2</v>
      </c>
    </row>
    <row r="768" spans="1:8" x14ac:dyDescent="0.2">
      <c r="A768" s="1">
        <v>45520</v>
      </c>
      <c r="B768">
        <v>224.57599999999999</v>
      </c>
      <c r="C768">
        <f t="shared" si="51"/>
        <v>5.9130016776397449E-3</v>
      </c>
      <c r="D768">
        <f t="shared" si="52"/>
        <v>1.4341324984757016E-2</v>
      </c>
      <c r="E768">
        <f t="shared" si="53"/>
        <v>2.3589380416467336E-2</v>
      </c>
      <c r="F768">
        <f t="shared" si="54"/>
        <v>3.3362910889218278E-2</v>
      </c>
      <c r="G768">
        <f t="shared" si="55"/>
        <v>-2.3589380416467336E-2</v>
      </c>
      <c r="H768">
        <f t="shared" si="56"/>
        <v>-3.3362910889218278E-2</v>
      </c>
    </row>
    <row r="769" spans="1:8" x14ac:dyDescent="0.2">
      <c r="A769" s="1">
        <v>45523</v>
      </c>
      <c r="B769">
        <v>224.416</v>
      </c>
      <c r="C769">
        <f t="shared" si="51"/>
        <v>-7.1270760624995641E-4</v>
      </c>
      <c r="D769">
        <f t="shared" si="52"/>
        <v>1.4335542904080303E-2</v>
      </c>
      <c r="E769">
        <f t="shared" si="53"/>
        <v>2.3579869740094919E-2</v>
      </c>
      <c r="F769">
        <f t="shared" si="54"/>
        <v>3.3349459758128475E-2</v>
      </c>
      <c r="G769">
        <f t="shared" si="55"/>
        <v>-2.3579869740094919E-2</v>
      </c>
      <c r="H769">
        <f t="shared" si="56"/>
        <v>-3.3349459758128475E-2</v>
      </c>
    </row>
    <row r="770" spans="1:8" x14ac:dyDescent="0.2">
      <c r="A770" s="1">
        <v>45524</v>
      </c>
      <c r="B770">
        <v>225.03200000000001</v>
      </c>
      <c r="C770">
        <f t="shared" si="51"/>
        <v>2.7411419595209752E-3</v>
      </c>
      <c r="D770">
        <f t="shared" si="52"/>
        <v>1.4329341933172672E-2</v>
      </c>
      <c r="E770">
        <f t="shared" si="53"/>
        <v>2.3569670050606881E-2</v>
      </c>
      <c r="F770">
        <f t="shared" si="54"/>
        <v>3.3335034142640517E-2</v>
      </c>
      <c r="G770">
        <f t="shared" si="55"/>
        <v>-2.3569670050606881E-2</v>
      </c>
      <c r="H770">
        <f t="shared" si="56"/>
        <v>-3.3335034142640517E-2</v>
      </c>
    </row>
    <row r="771" spans="1:8" x14ac:dyDescent="0.2">
      <c r="A771" s="1">
        <v>45525</v>
      </c>
      <c r="B771">
        <v>224.923</v>
      </c>
      <c r="C771">
        <f t="shared" ref="C771:C834" si="57">LN(B771/B770)</f>
        <v>-4.8449290321113034E-4</v>
      </c>
      <c r="D771">
        <f t="shared" si="52"/>
        <v>1.4269243177114015E-2</v>
      </c>
      <c r="E771">
        <f t="shared" si="53"/>
        <v>2.3470816393728527E-2</v>
      </c>
      <c r="F771">
        <f t="shared" si="54"/>
        <v>3.3195223529250958E-2</v>
      </c>
      <c r="G771">
        <f t="shared" si="55"/>
        <v>-2.3470816393728527E-2</v>
      </c>
      <c r="H771">
        <f t="shared" si="56"/>
        <v>-3.3195223529250958E-2</v>
      </c>
    </row>
    <row r="772" spans="1:8" x14ac:dyDescent="0.2">
      <c r="A772" s="1">
        <v>45526</v>
      </c>
      <c r="B772">
        <v>223.065</v>
      </c>
      <c r="C772">
        <f t="shared" si="57"/>
        <v>-8.2949126020532785E-3</v>
      </c>
      <c r="D772">
        <f t="shared" si="52"/>
        <v>1.4174913139962801E-2</v>
      </c>
      <c r="E772">
        <f t="shared" si="53"/>
        <v>2.3315657289989886E-2</v>
      </c>
      <c r="F772">
        <f t="shared" si="54"/>
        <v>3.2975779047866041E-2</v>
      </c>
      <c r="G772">
        <f t="shared" si="55"/>
        <v>-2.3315657289989886E-2</v>
      </c>
      <c r="H772">
        <f t="shared" si="56"/>
        <v>-3.2975779047866041E-2</v>
      </c>
    </row>
    <row r="773" spans="1:8" x14ac:dyDescent="0.2">
      <c r="A773" s="1">
        <v>45527</v>
      </c>
      <c r="B773">
        <v>225.36</v>
      </c>
      <c r="C773">
        <f t="shared" si="57"/>
        <v>1.0235914759360702E-2</v>
      </c>
      <c r="D773">
        <f t="shared" si="52"/>
        <v>1.4168043022234969E-2</v>
      </c>
      <c r="E773">
        <f t="shared" si="53"/>
        <v>2.3304356951927677E-2</v>
      </c>
      <c r="F773">
        <f t="shared" si="54"/>
        <v>3.2959796764095488E-2</v>
      </c>
      <c r="G773">
        <f t="shared" si="55"/>
        <v>-2.3304356951927677E-2</v>
      </c>
      <c r="H773">
        <f t="shared" si="56"/>
        <v>-3.2959796764095488E-2</v>
      </c>
    </row>
    <row r="774" spans="1:8" x14ac:dyDescent="0.2">
      <c r="A774" s="1">
        <v>45530</v>
      </c>
      <c r="B774">
        <v>225.697</v>
      </c>
      <c r="C774">
        <f t="shared" si="57"/>
        <v>1.4942681865286209E-3</v>
      </c>
      <c r="D774">
        <f t="shared" si="52"/>
        <v>1.4159378682740491E-2</v>
      </c>
      <c r="E774">
        <f t="shared" si="53"/>
        <v>2.3290105381685047E-2</v>
      </c>
      <c r="F774">
        <f t="shared" si="54"/>
        <v>3.2939640496332544E-2</v>
      </c>
      <c r="G774">
        <f t="shared" si="55"/>
        <v>-2.3290105381685047E-2</v>
      </c>
      <c r="H774">
        <f t="shared" si="56"/>
        <v>-3.2939640496332544E-2</v>
      </c>
    </row>
    <row r="775" spans="1:8" x14ac:dyDescent="0.2">
      <c r="A775" s="1">
        <v>45531</v>
      </c>
      <c r="B775">
        <v>226.541</v>
      </c>
      <c r="C775">
        <f t="shared" si="57"/>
        <v>3.7325522396613941E-3</v>
      </c>
      <c r="D775">
        <f t="shared" si="52"/>
        <v>1.4099775086450788E-2</v>
      </c>
      <c r="E775">
        <f t="shared" si="53"/>
        <v>2.3192066190148575E-2</v>
      </c>
      <c r="F775">
        <f t="shared" si="54"/>
        <v>3.2800981796818798E-2</v>
      </c>
      <c r="G775">
        <f t="shared" si="55"/>
        <v>-2.3192066190148575E-2</v>
      </c>
      <c r="H775">
        <f t="shared" si="56"/>
        <v>-3.2800981796818798E-2</v>
      </c>
    </row>
    <row r="776" spans="1:8" x14ac:dyDescent="0.2">
      <c r="A776" s="1">
        <v>45532</v>
      </c>
      <c r="B776">
        <v>225.012</v>
      </c>
      <c r="C776">
        <f t="shared" si="57"/>
        <v>-6.772209878725316E-3</v>
      </c>
      <c r="D776">
        <f t="shared" si="52"/>
        <v>1.4061000050258229E-2</v>
      </c>
      <c r="E776">
        <f t="shared" si="53"/>
        <v>2.3128286931232072E-2</v>
      </c>
      <c r="F776">
        <f t="shared" si="54"/>
        <v>3.2710777573806388E-2</v>
      </c>
      <c r="G776">
        <f t="shared" si="55"/>
        <v>-2.3128286931232072E-2</v>
      </c>
      <c r="H776">
        <f t="shared" si="56"/>
        <v>-3.2710777573806388E-2</v>
      </c>
    </row>
    <row r="777" spans="1:8" x14ac:dyDescent="0.2">
      <c r="A777" s="1">
        <v>45533</v>
      </c>
      <c r="B777">
        <v>228.28899999999999</v>
      </c>
      <c r="C777">
        <f t="shared" si="57"/>
        <v>1.445863604298585E-2</v>
      </c>
      <c r="D777">
        <f t="shared" si="52"/>
        <v>1.408759778613965E-2</v>
      </c>
      <c r="E777">
        <f t="shared" si="53"/>
        <v>2.3172036313565323E-2</v>
      </c>
      <c r="F777">
        <f t="shared" si="54"/>
        <v>3.277265316012843E-2</v>
      </c>
      <c r="G777">
        <f t="shared" si="55"/>
        <v>-2.3172036313565323E-2</v>
      </c>
      <c r="H777">
        <f t="shared" si="56"/>
        <v>-3.277265316012843E-2</v>
      </c>
    </row>
    <row r="778" spans="1:8" x14ac:dyDescent="0.2">
      <c r="A778" s="1">
        <v>45534</v>
      </c>
      <c r="B778">
        <v>227.505</v>
      </c>
      <c r="C778">
        <f t="shared" si="57"/>
        <v>-3.4401539870976749E-3</v>
      </c>
      <c r="D778">
        <f t="shared" si="52"/>
        <v>1.4081880823744744E-2</v>
      </c>
      <c r="E778">
        <f t="shared" si="53"/>
        <v>2.3162632747234919E-2</v>
      </c>
      <c r="F778">
        <f t="shared" si="54"/>
        <v>3.2759353516815068E-2</v>
      </c>
      <c r="G778">
        <f t="shared" si="55"/>
        <v>-2.3162632747234919E-2</v>
      </c>
      <c r="H778">
        <f t="shared" si="56"/>
        <v>-3.2759353516815068E-2</v>
      </c>
    </row>
    <row r="779" spans="1:8" x14ac:dyDescent="0.2">
      <c r="A779" s="1">
        <v>45538</v>
      </c>
      <c r="B779">
        <v>221.316</v>
      </c>
      <c r="C779">
        <f t="shared" si="57"/>
        <v>-2.7580671682800657E-2</v>
      </c>
      <c r="D779">
        <f t="shared" si="52"/>
        <v>1.4195595495862124E-2</v>
      </c>
      <c r="E779">
        <f t="shared" si="53"/>
        <v>2.3349676738104789E-2</v>
      </c>
      <c r="F779">
        <f t="shared" si="54"/>
        <v>3.3023893402542588E-2</v>
      </c>
      <c r="G779">
        <f t="shared" si="55"/>
        <v>-2.3349676738104789E-2</v>
      </c>
      <c r="H779">
        <f t="shared" si="56"/>
        <v>-3.3023893402542588E-2</v>
      </c>
    </row>
    <row r="780" spans="1:8" x14ac:dyDescent="0.2">
      <c r="A780" s="1">
        <v>45539</v>
      </c>
      <c r="B780">
        <v>219.40899999999999</v>
      </c>
      <c r="C780">
        <f t="shared" si="57"/>
        <v>-8.6539765226046061E-3</v>
      </c>
      <c r="D780">
        <f t="shared" si="52"/>
        <v>1.4011255365736813E-2</v>
      </c>
      <c r="E780">
        <f t="shared" si="53"/>
        <v>2.3046464206475464E-2</v>
      </c>
      <c r="F780">
        <f t="shared" si="54"/>
        <v>3.2595054132725156E-2</v>
      </c>
      <c r="G780">
        <f t="shared" si="55"/>
        <v>-2.3046464206475464E-2</v>
      </c>
      <c r="H780">
        <f t="shared" si="56"/>
        <v>-3.2595054132725156E-2</v>
      </c>
    </row>
    <row r="781" spans="1:8" x14ac:dyDescent="0.2">
      <c r="A781" s="1">
        <v>45540</v>
      </c>
      <c r="B781">
        <v>220.929</v>
      </c>
      <c r="C781">
        <f t="shared" si="57"/>
        <v>6.9038149660743398E-3</v>
      </c>
      <c r="D781">
        <f t="shared" si="52"/>
        <v>1.3882358468687635E-2</v>
      </c>
      <c r="E781">
        <f t="shared" si="53"/>
        <v>2.2834447677861334E-2</v>
      </c>
      <c r="F781">
        <f t="shared" si="54"/>
        <v>3.2295195110304341E-2</v>
      </c>
      <c r="G781">
        <f t="shared" si="55"/>
        <v>-2.2834447677861334E-2</v>
      </c>
      <c r="H781">
        <f t="shared" si="56"/>
        <v>-3.2295195110304341E-2</v>
      </c>
    </row>
    <row r="782" spans="1:8" x14ac:dyDescent="0.2">
      <c r="A782" s="1">
        <v>45541</v>
      </c>
      <c r="B782">
        <v>219.37899999999999</v>
      </c>
      <c r="C782">
        <f t="shared" si="57"/>
        <v>-7.0405552600054967E-3</v>
      </c>
      <c r="D782">
        <f t="shared" si="52"/>
        <v>1.3890507567352056E-2</v>
      </c>
      <c r="E782">
        <f t="shared" si="53"/>
        <v>2.2847851752355892E-2</v>
      </c>
      <c r="F782">
        <f t="shared" si="54"/>
        <v>3.2314152748657662E-2</v>
      </c>
      <c r="G782">
        <f t="shared" si="55"/>
        <v>-2.2847851752355892E-2</v>
      </c>
      <c r="H782">
        <f t="shared" si="56"/>
        <v>-3.2314152748657662E-2</v>
      </c>
    </row>
    <row r="783" spans="1:8" x14ac:dyDescent="0.2">
      <c r="A783" s="1">
        <v>45544</v>
      </c>
      <c r="B783">
        <v>219.46799999999999</v>
      </c>
      <c r="C783">
        <f t="shared" si="57"/>
        <v>4.0560833830555014E-4</v>
      </c>
      <c r="D783">
        <f t="shared" si="52"/>
        <v>1.3885786807052714E-2</v>
      </c>
      <c r="E783">
        <f t="shared" si="53"/>
        <v>2.2840086792655548E-2</v>
      </c>
      <c r="F783">
        <f t="shared" si="54"/>
        <v>3.2303170617971437E-2</v>
      </c>
      <c r="G783">
        <f t="shared" si="55"/>
        <v>-2.2840086792655548E-2</v>
      </c>
      <c r="H783">
        <f t="shared" si="56"/>
        <v>-3.2303170617971437E-2</v>
      </c>
    </row>
    <row r="784" spans="1:8" x14ac:dyDescent="0.2">
      <c r="A784" s="1">
        <v>45545</v>
      </c>
      <c r="B784">
        <v>218.673</v>
      </c>
      <c r="C784">
        <f t="shared" si="57"/>
        <v>-3.6289727392569636E-3</v>
      </c>
      <c r="D784">
        <f t="shared" si="52"/>
        <v>1.3841386008641527E-2</v>
      </c>
      <c r="E784">
        <f t="shared" si="53"/>
        <v>2.2767053978349369E-2</v>
      </c>
      <c r="F784">
        <f t="shared" si="54"/>
        <v>3.2199878914981855E-2</v>
      </c>
      <c r="G784">
        <f t="shared" si="55"/>
        <v>-2.2767053978349369E-2</v>
      </c>
      <c r="H784">
        <f t="shared" si="56"/>
        <v>-3.2199878914981855E-2</v>
      </c>
    </row>
    <row r="785" spans="1:8" x14ac:dyDescent="0.2">
      <c r="A785" s="1">
        <v>45546</v>
      </c>
      <c r="B785">
        <v>221.20599999999999</v>
      </c>
      <c r="C785">
        <f t="shared" si="57"/>
        <v>1.1516930783088066E-2</v>
      </c>
      <c r="D785">
        <f t="shared" si="52"/>
        <v>1.3833493659511859E-2</v>
      </c>
      <c r="E785">
        <f t="shared" si="53"/>
        <v>2.2754072219258265E-2</v>
      </c>
      <c r="F785">
        <f t="shared" si="54"/>
        <v>3.218151856536286E-2</v>
      </c>
      <c r="G785">
        <f t="shared" si="55"/>
        <v>-2.2754072219258265E-2</v>
      </c>
      <c r="H785">
        <f t="shared" si="56"/>
        <v>-3.218151856536286E-2</v>
      </c>
    </row>
    <row r="786" spans="1:8" x14ac:dyDescent="0.2">
      <c r="A786" s="1">
        <v>45547</v>
      </c>
      <c r="B786">
        <v>221.316</v>
      </c>
      <c r="C786">
        <f t="shared" si="57"/>
        <v>4.9715043439930279E-4</v>
      </c>
      <c r="D786">
        <f t="shared" si="52"/>
        <v>1.3824804047253307E-2</v>
      </c>
      <c r="E786">
        <f t="shared" si="53"/>
        <v>2.2739779079017985E-2</v>
      </c>
      <c r="F786">
        <f t="shared" si="54"/>
        <v>3.2161303504358939E-2</v>
      </c>
      <c r="G786">
        <f t="shared" si="55"/>
        <v>-2.2739779079017985E-2</v>
      </c>
      <c r="H786">
        <f t="shared" si="56"/>
        <v>-3.2161303504358939E-2</v>
      </c>
    </row>
    <row r="787" spans="1:8" x14ac:dyDescent="0.2">
      <c r="A787" s="1">
        <v>45548</v>
      </c>
      <c r="B787">
        <v>221.048</v>
      </c>
      <c r="C787">
        <f t="shared" si="57"/>
        <v>-1.2116719841065307E-3</v>
      </c>
      <c r="D787">
        <f t="shared" si="52"/>
        <v>1.382166067485804E-2</v>
      </c>
      <c r="E787">
        <f t="shared" si="53"/>
        <v>2.2734608691532772E-2</v>
      </c>
      <c r="F787">
        <f t="shared" si="54"/>
        <v>3.2153990926669894E-2</v>
      </c>
      <c r="G787">
        <f t="shared" si="55"/>
        <v>-2.2734608691532772E-2</v>
      </c>
      <c r="H787">
        <f t="shared" si="56"/>
        <v>-3.2153990926669894E-2</v>
      </c>
    </row>
    <row r="788" spans="1:8" x14ac:dyDescent="0.2">
      <c r="A788" s="1">
        <v>45551</v>
      </c>
      <c r="B788">
        <v>214.90799999999999</v>
      </c>
      <c r="C788">
        <f t="shared" si="57"/>
        <v>-2.8169842931960055E-2</v>
      </c>
      <c r="D788">
        <f t="shared" si="52"/>
        <v>1.3907439727761683E-2</v>
      </c>
      <c r="E788">
        <f t="shared" si="53"/>
        <v>2.2875702677817789E-2</v>
      </c>
      <c r="F788">
        <f t="shared" si="54"/>
        <v>3.2353542844029519E-2</v>
      </c>
      <c r="G788">
        <f t="shared" si="55"/>
        <v>-2.2875702677817789E-2</v>
      </c>
      <c r="H788">
        <f t="shared" si="56"/>
        <v>-3.2353542844029519E-2</v>
      </c>
    </row>
    <row r="789" spans="1:8" x14ac:dyDescent="0.2">
      <c r="A789" s="1">
        <v>45552</v>
      </c>
      <c r="B789">
        <v>215.375</v>
      </c>
      <c r="C789">
        <f t="shared" si="57"/>
        <v>2.1706652754910605E-3</v>
      </c>
      <c r="D789">
        <f t="shared" si="52"/>
        <v>1.3903553716913493E-2</v>
      </c>
      <c r="E789">
        <f t="shared" si="53"/>
        <v>2.2869310758779772E-2</v>
      </c>
      <c r="F789">
        <f t="shared" si="54"/>
        <v>3.2344502630954335E-2</v>
      </c>
      <c r="G789">
        <f t="shared" si="55"/>
        <v>-2.2869310758779772E-2</v>
      </c>
      <c r="H789">
        <f t="shared" si="56"/>
        <v>-3.2344502630954335E-2</v>
      </c>
    </row>
    <row r="790" spans="1:8" x14ac:dyDescent="0.2">
      <c r="A790" s="1">
        <v>45553</v>
      </c>
      <c r="B790">
        <v>219.25</v>
      </c>
      <c r="C790">
        <f t="shared" si="57"/>
        <v>1.7831936404198622E-2</v>
      </c>
      <c r="D790">
        <f t="shared" si="52"/>
        <v>1.3881154211228474E-2</v>
      </c>
      <c r="E790">
        <f t="shared" si="53"/>
        <v>2.2832466850611847E-2</v>
      </c>
      <c r="F790">
        <f t="shared" si="54"/>
        <v>3.2292393588524426E-2</v>
      </c>
      <c r="G790">
        <f t="shared" si="55"/>
        <v>-2.2832466850611847E-2</v>
      </c>
      <c r="H790">
        <f t="shared" si="56"/>
        <v>-3.2292393588524426E-2</v>
      </c>
    </row>
    <row r="791" spans="1:8" x14ac:dyDescent="0.2">
      <c r="A791" s="1">
        <v>45554</v>
      </c>
      <c r="B791">
        <v>227.375</v>
      </c>
      <c r="C791">
        <f t="shared" si="57"/>
        <v>3.638800558599399E-2</v>
      </c>
      <c r="D791">
        <f t="shared" si="52"/>
        <v>1.4046698557781465E-2</v>
      </c>
      <c r="E791">
        <f t="shared" si="53"/>
        <v>2.3104763069460847E-2</v>
      </c>
      <c r="F791">
        <f t="shared" si="54"/>
        <v>3.2677507327187452E-2</v>
      </c>
      <c r="G791">
        <f t="shared" si="55"/>
        <v>-2.3104763069460847E-2</v>
      </c>
      <c r="H791">
        <f t="shared" si="56"/>
        <v>-3.2677507327187452E-2</v>
      </c>
    </row>
    <row r="792" spans="1:8" x14ac:dyDescent="0.2">
      <c r="A792" s="1">
        <v>45555</v>
      </c>
      <c r="B792">
        <v>226.71100000000001</v>
      </c>
      <c r="C792">
        <f t="shared" si="57"/>
        <v>-2.9245582258346668E-3</v>
      </c>
      <c r="D792">
        <f t="shared" si="52"/>
        <v>1.4046920709166756E-2</v>
      </c>
      <c r="E792">
        <f t="shared" si="53"/>
        <v>2.3105128475972674E-2</v>
      </c>
      <c r="F792">
        <f t="shared" si="54"/>
        <v>3.267802412859034E-2</v>
      </c>
      <c r="G792">
        <f t="shared" si="55"/>
        <v>-2.3105128475972674E-2</v>
      </c>
      <c r="H792">
        <f t="shared" si="56"/>
        <v>-3.267802412859034E-2</v>
      </c>
    </row>
    <row r="793" spans="1:8" x14ac:dyDescent="0.2">
      <c r="A793" s="1">
        <v>45558</v>
      </c>
      <c r="B793">
        <v>224.99199999999999</v>
      </c>
      <c r="C793">
        <f t="shared" si="57"/>
        <v>-7.6112325957009112E-3</v>
      </c>
      <c r="D793">
        <f t="shared" si="52"/>
        <v>1.4052015558330326E-2</v>
      </c>
      <c r="E793">
        <f t="shared" si="53"/>
        <v>2.3113508757098142E-2</v>
      </c>
      <c r="F793">
        <f t="shared" si="54"/>
        <v>3.2689876520110572E-2</v>
      </c>
      <c r="G793">
        <f t="shared" si="55"/>
        <v>-2.3113508757098142E-2</v>
      </c>
      <c r="H793">
        <f t="shared" si="56"/>
        <v>-3.2689876520110572E-2</v>
      </c>
    </row>
    <row r="794" spans="1:8" x14ac:dyDescent="0.2">
      <c r="A794" s="1">
        <v>45559</v>
      </c>
      <c r="B794">
        <v>225.887</v>
      </c>
      <c r="C794">
        <f t="shared" si="57"/>
        <v>3.9700282138527571E-3</v>
      </c>
      <c r="D794">
        <f t="shared" si="52"/>
        <v>1.3965393309324683E-2</v>
      </c>
      <c r="E794">
        <f t="shared" si="53"/>
        <v>2.2971027836646521E-2</v>
      </c>
      <c r="F794">
        <f t="shared" si="54"/>
        <v>3.2488363035291658E-2</v>
      </c>
      <c r="G794">
        <f t="shared" si="55"/>
        <v>-2.2971027836646521E-2</v>
      </c>
      <c r="H794">
        <f t="shared" si="56"/>
        <v>-3.2488363035291658E-2</v>
      </c>
    </row>
    <row r="795" spans="1:8" x14ac:dyDescent="0.2">
      <c r="A795" s="1">
        <v>45560</v>
      </c>
      <c r="B795">
        <v>224.893</v>
      </c>
      <c r="C795">
        <f t="shared" si="57"/>
        <v>-4.4101406941445091E-3</v>
      </c>
      <c r="D795">
        <f t="shared" si="52"/>
        <v>1.3955213172563088E-2</v>
      </c>
      <c r="E795">
        <f t="shared" si="53"/>
        <v>2.2954283001771346E-2</v>
      </c>
      <c r="F795">
        <f t="shared" si="54"/>
        <v>3.2464680495778879E-2</v>
      </c>
      <c r="G795">
        <f t="shared" si="55"/>
        <v>-2.2954283001771346E-2</v>
      </c>
      <c r="H795">
        <f t="shared" si="56"/>
        <v>-3.2464680495778879E-2</v>
      </c>
    </row>
    <row r="796" spans="1:8" x14ac:dyDescent="0.2">
      <c r="A796" s="1">
        <v>45561</v>
      </c>
      <c r="B796">
        <v>226.035</v>
      </c>
      <c r="C796">
        <f t="shared" si="57"/>
        <v>5.0651210017683603E-3</v>
      </c>
      <c r="D796">
        <f t="shared" si="52"/>
        <v>1.3957386479083579E-2</v>
      </c>
      <c r="E796">
        <f t="shared" si="53"/>
        <v>2.2957857772884054E-2</v>
      </c>
      <c r="F796">
        <f t="shared" si="54"/>
        <v>3.2469736362782456E-2</v>
      </c>
      <c r="G796">
        <f t="shared" si="55"/>
        <v>-2.2957857772884054E-2</v>
      </c>
      <c r="H796">
        <f t="shared" si="56"/>
        <v>-3.2469736362782456E-2</v>
      </c>
    </row>
    <row r="797" spans="1:8" x14ac:dyDescent="0.2">
      <c r="A797" s="1">
        <v>45562</v>
      </c>
      <c r="B797">
        <v>226.303</v>
      </c>
      <c r="C797">
        <f t="shared" si="57"/>
        <v>1.1849547522367828E-3</v>
      </c>
      <c r="D797">
        <f t="shared" si="52"/>
        <v>1.3956870720051114E-2</v>
      </c>
      <c r="E797">
        <f t="shared" si="53"/>
        <v>2.295700942476887E-2</v>
      </c>
      <c r="F797">
        <f t="shared" si="54"/>
        <v>3.2468536527853767E-2</v>
      </c>
      <c r="G797">
        <f t="shared" si="55"/>
        <v>-2.295700942476887E-2</v>
      </c>
      <c r="H797">
        <f t="shared" si="56"/>
        <v>-3.2468536527853767E-2</v>
      </c>
    </row>
    <row r="798" spans="1:8" x14ac:dyDescent="0.2">
      <c r="A798" s="1">
        <v>45565</v>
      </c>
      <c r="B798">
        <v>231.47900000000001</v>
      </c>
      <c r="C798">
        <f t="shared" si="57"/>
        <v>2.2614347378194344E-2</v>
      </c>
      <c r="D798">
        <f t="shared" si="52"/>
        <v>1.3996574781578347E-2</v>
      </c>
      <c r="E798">
        <f t="shared" si="53"/>
        <v>2.3022316794376645E-2</v>
      </c>
      <c r="F798">
        <f t="shared" si="54"/>
        <v>3.2560901986978433E-2</v>
      </c>
      <c r="G798">
        <f t="shared" si="55"/>
        <v>-2.3022316794376645E-2</v>
      </c>
      <c r="H798">
        <f t="shared" si="56"/>
        <v>-3.2560901986978433E-2</v>
      </c>
    </row>
    <row r="799" spans="1:8" x14ac:dyDescent="0.2">
      <c r="A799" s="1">
        <v>45566</v>
      </c>
      <c r="B799">
        <v>224.733</v>
      </c>
      <c r="C799">
        <f t="shared" si="57"/>
        <v>-2.957612577730272E-2</v>
      </c>
      <c r="D799">
        <f t="shared" si="52"/>
        <v>1.4120007516418825E-2</v>
      </c>
      <c r="E799">
        <f t="shared" si="53"/>
        <v>2.3225345575963542E-2</v>
      </c>
      <c r="F799">
        <f t="shared" si="54"/>
        <v>3.2848049467261622E-2</v>
      </c>
      <c r="G799">
        <f t="shared" si="55"/>
        <v>-2.3225345575963542E-2</v>
      </c>
      <c r="H799">
        <f t="shared" si="56"/>
        <v>-3.2848049467261622E-2</v>
      </c>
    </row>
    <row r="800" spans="1:8" x14ac:dyDescent="0.2">
      <c r="A800" s="1">
        <v>45567</v>
      </c>
      <c r="B800">
        <v>225.3</v>
      </c>
      <c r="C800">
        <f t="shared" si="57"/>
        <v>2.5198165468428729E-3</v>
      </c>
      <c r="D800">
        <f t="shared" si="52"/>
        <v>1.4114869296851988E-2</v>
      </c>
      <c r="E800">
        <f t="shared" si="53"/>
        <v>2.3216893956872958E-2</v>
      </c>
      <c r="F800">
        <f t="shared" si="54"/>
        <v>3.283609618109596E-2</v>
      </c>
      <c r="G800">
        <f t="shared" si="55"/>
        <v>-2.3216893956872958E-2</v>
      </c>
      <c r="H800">
        <f t="shared" si="56"/>
        <v>-3.283609618109596E-2</v>
      </c>
    </row>
    <row r="801" spans="1:8" x14ac:dyDescent="0.2">
      <c r="A801" s="1">
        <v>45568</v>
      </c>
      <c r="B801">
        <v>224.196</v>
      </c>
      <c r="C801">
        <f t="shared" si="57"/>
        <v>-4.9121781724980702E-3</v>
      </c>
      <c r="D801">
        <f t="shared" si="52"/>
        <v>1.411462661913032E-2</v>
      </c>
      <c r="E801">
        <f t="shared" si="53"/>
        <v>2.3216494787542293E-2</v>
      </c>
      <c r="F801">
        <f t="shared" si="54"/>
        <v>3.2835531628294078E-2</v>
      </c>
      <c r="G801">
        <f t="shared" si="55"/>
        <v>-2.3216494787542293E-2</v>
      </c>
      <c r="H801">
        <f t="shared" si="56"/>
        <v>-3.2835531628294078E-2</v>
      </c>
    </row>
    <row r="802" spans="1:8" x14ac:dyDescent="0.2">
      <c r="A802" s="1">
        <v>45569</v>
      </c>
      <c r="B802">
        <v>225.32</v>
      </c>
      <c r="C802">
        <f t="shared" si="57"/>
        <v>5.0009447608125347E-3</v>
      </c>
      <c r="D802">
        <f t="shared" si="52"/>
        <v>1.4090462485769856E-2</v>
      </c>
      <c r="E802">
        <f t="shared" si="53"/>
        <v>2.3176748325142195E-2</v>
      </c>
      <c r="F802">
        <f t="shared" si="54"/>
        <v>3.2779317448022927E-2</v>
      </c>
      <c r="G802">
        <f t="shared" si="55"/>
        <v>-2.3176748325142195E-2</v>
      </c>
      <c r="H802">
        <f t="shared" si="56"/>
        <v>-3.2779317448022927E-2</v>
      </c>
    </row>
    <row r="803" spans="1:8" x14ac:dyDescent="0.2">
      <c r="A803" s="1">
        <v>45572</v>
      </c>
      <c r="B803">
        <v>220.24299999999999</v>
      </c>
      <c r="C803">
        <f t="shared" si="57"/>
        <v>-2.2790131781119136E-2</v>
      </c>
      <c r="D803">
        <f t="shared" si="52"/>
        <v>1.41625713094156E-2</v>
      </c>
      <c r="E803">
        <f t="shared" si="53"/>
        <v>2.32953567852511E-2</v>
      </c>
      <c r="F803">
        <f t="shared" si="54"/>
        <v>3.2947067656610783E-2</v>
      </c>
      <c r="G803">
        <f t="shared" si="55"/>
        <v>-2.32953567852511E-2</v>
      </c>
      <c r="H803">
        <f t="shared" si="56"/>
        <v>-3.2947067656610783E-2</v>
      </c>
    </row>
    <row r="804" spans="1:8" x14ac:dyDescent="0.2">
      <c r="A804" s="1">
        <v>45573</v>
      </c>
      <c r="B804">
        <v>224.29599999999999</v>
      </c>
      <c r="C804">
        <f t="shared" si="57"/>
        <v>1.8235125862726066E-2</v>
      </c>
      <c r="D804">
        <f t="shared" si="52"/>
        <v>1.420244715852723E-2</v>
      </c>
      <c r="E804">
        <f t="shared" si="53"/>
        <v>2.3360946720290134E-2</v>
      </c>
      <c r="F804">
        <f t="shared" si="54"/>
        <v>3.3039832753417202E-2</v>
      </c>
      <c r="G804">
        <f t="shared" si="55"/>
        <v>-2.3360946720290134E-2</v>
      </c>
      <c r="H804">
        <f t="shared" si="56"/>
        <v>-3.3039832753417202E-2</v>
      </c>
    </row>
    <row r="805" spans="1:8" x14ac:dyDescent="0.2">
      <c r="A805" s="1">
        <v>45574</v>
      </c>
      <c r="B805">
        <v>228.04300000000001</v>
      </c>
      <c r="C805">
        <f t="shared" si="57"/>
        <v>1.6567599555466314E-2</v>
      </c>
      <c r="D805">
        <f t="shared" si="52"/>
        <v>1.4230063163592613E-2</v>
      </c>
      <c r="E805">
        <f t="shared" si="53"/>
        <v>2.340637100638384E-2</v>
      </c>
      <c r="F805">
        <f t="shared" si="54"/>
        <v>3.3104077188090553E-2</v>
      </c>
      <c r="G805">
        <f t="shared" si="55"/>
        <v>-2.340637100638384E-2</v>
      </c>
      <c r="H805">
        <f t="shared" si="56"/>
        <v>-3.3104077188090553E-2</v>
      </c>
    </row>
    <row r="806" spans="1:8" x14ac:dyDescent="0.2">
      <c r="A806" s="1">
        <v>45575</v>
      </c>
      <c r="B806">
        <v>227.54499999999999</v>
      </c>
      <c r="C806">
        <f t="shared" si="57"/>
        <v>-2.1861866350544462E-3</v>
      </c>
      <c r="D806">
        <f t="shared" si="52"/>
        <v>1.422914447877816E-2</v>
      </c>
      <c r="E806">
        <f t="shared" si="53"/>
        <v>2.3404859904334763E-2</v>
      </c>
      <c r="F806">
        <f t="shared" si="54"/>
        <v>3.3101940007625542E-2</v>
      </c>
      <c r="G806">
        <f t="shared" si="55"/>
        <v>-2.3404859904334763E-2</v>
      </c>
      <c r="H806">
        <f t="shared" si="56"/>
        <v>-3.3101940007625542E-2</v>
      </c>
    </row>
    <row r="807" spans="1:8" x14ac:dyDescent="0.2">
      <c r="A807" s="1">
        <v>45576</v>
      </c>
      <c r="B807">
        <v>226.065</v>
      </c>
      <c r="C807">
        <f t="shared" si="57"/>
        <v>-6.5254524887824747E-3</v>
      </c>
      <c r="D807">
        <f t="shared" si="52"/>
        <v>1.4218963783550472E-2</v>
      </c>
      <c r="E807">
        <f t="shared" si="53"/>
        <v>2.3388114150864614E-2</v>
      </c>
      <c r="F807">
        <f t="shared" si="54"/>
        <v>3.3078256168926352E-2</v>
      </c>
      <c r="G807">
        <f t="shared" si="55"/>
        <v>-2.3388114150864614E-2</v>
      </c>
      <c r="H807">
        <f t="shared" si="56"/>
        <v>-3.3078256168926352E-2</v>
      </c>
    </row>
    <row r="808" spans="1:8" x14ac:dyDescent="0.2">
      <c r="A808" s="1">
        <v>45579</v>
      </c>
      <c r="B808">
        <v>229.791</v>
      </c>
      <c r="C808">
        <f t="shared" si="57"/>
        <v>1.6347631617095664E-2</v>
      </c>
      <c r="D808">
        <f t="shared" si="52"/>
        <v>1.4251693327328702E-2</v>
      </c>
      <c r="E808">
        <f t="shared" si="53"/>
        <v>2.3441949459656702E-2</v>
      </c>
      <c r="F808">
        <f t="shared" si="54"/>
        <v>3.3154396473513162E-2</v>
      </c>
      <c r="G808">
        <f t="shared" si="55"/>
        <v>-2.3441949459656702E-2</v>
      </c>
      <c r="H808">
        <f t="shared" si="56"/>
        <v>-3.3154396473513162E-2</v>
      </c>
    </row>
    <row r="809" spans="1:8" x14ac:dyDescent="0.2">
      <c r="A809" s="1">
        <v>45580</v>
      </c>
      <c r="B809">
        <v>232.32400000000001</v>
      </c>
      <c r="C809">
        <f t="shared" si="57"/>
        <v>1.0962748962218617E-2</v>
      </c>
      <c r="D809">
        <f t="shared" si="52"/>
        <v>1.4251552498770715E-2</v>
      </c>
      <c r="E809">
        <f t="shared" si="53"/>
        <v>2.3441717817292318E-2</v>
      </c>
      <c r="F809">
        <f t="shared" si="54"/>
        <v>3.3154068857296687E-2</v>
      </c>
      <c r="G809">
        <f t="shared" si="55"/>
        <v>-2.3441717817292318E-2</v>
      </c>
      <c r="H809">
        <f t="shared" si="56"/>
        <v>-3.3154068857296687E-2</v>
      </c>
    </row>
    <row r="810" spans="1:8" x14ac:dyDescent="0.2">
      <c r="A810" s="1">
        <v>45581</v>
      </c>
      <c r="B810">
        <v>230.268</v>
      </c>
      <c r="C810">
        <f t="shared" si="57"/>
        <v>-8.8891011434580232E-3</v>
      </c>
      <c r="D810">
        <f t="shared" si="52"/>
        <v>1.4255359264672581E-2</v>
      </c>
      <c r="E810">
        <f t="shared" si="53"/>
        <v>2.3447979389992959E-2</v>
      </c>
      <c r="F810">
        <f t="shared" si="54"/>
        <v>3.3162924719059461E-2</v>
      </c>
      <c r="G810">
        <f t="shared" si="55"/>
        <v>-2.3447979389992959E-2</v>
      </c>
      <c r="H810">
        <f t="shared" si="56"/>
        <v>-3.3162924719059461E-2</v>
      </c>
    </row>
    <row r="811" spans="1:8" x14ac:dyDescent="0.2">
      <c r="A811" s="1">
        <v>45582</v>
      </c>
      <c r="B811">
        <v>230.63499999999999</v>
      </c>
      <c r="C811">
        <f t="shared" si="57"/>
        <v>1.5925263127538251E-3</v>
      </c>
      <c r="D811">
        <f t="shared" si="52"/>
        <v>1.4253867041974497E-2</v>
      </c>
      <c r="E811">
        <f t="shared" si="53"/>
        <v>2.3445524902075795E-2</v>
      </c>
      <c r="F811">
        <f t="shared" si="54"/>
        <v>3.3159453289958181E-2</v>
      </c>
      <c r="G811">
        <f t="shared" si="55"/>
        <v>-2.3445524902075795E-2</v>
      </c>
      <c r="H811">
        <f t="shared" si="56"/>
        <v>-3.3159453289958181E-2</v>
      </c>
    </row>
    <row r="812" spans="1:8" x14ac:dyDescent="0.2">
      <c r="A812" s="1">
        <v>45583</v>
      </c>
      <c r="B812">
        <v>233.46700000000001</v>
      </c>
      <c r="C812">
        <f t="shared" si="57"/>
        <v>1.2204365209776748E-2</v>
      </c>
      <c r="D812">
        <f t="shared" si="52"/>
        <v>1.4234809042374468E-2</v>
      </c>
      <c r="E812">
        <f t="shared" si="53"/>
        <v>2.3414177282311245E-2</v>
      </c>
      <c r="F812">
        <f t="shared" si="54"/>
        <v>3.3115117753105182E-2</v>
      </c>
      <c r="G812">
        <f t="shared" si="55"/>
        <v>-2.3414177282311245E-2</v>
      </c>
      <c r="H812">
        <f t="shared" si="56"/>
        <v>-3.3115117753105182E-2</v>
      </c>
    </row>
    <row r="813" spans="1:8" x14ac:dyDescent="0.2">
      <c r="A813" s="1">
        <v>45586</v>
      </c>
      <c r="B813">
        <v>234.93700000000001</v>
      </c>
      <c r="C813">
        <f t="shared" si="57"/>
        <v>6.2766535984041527E-3</v>
      </c>
      <c r="D813">
        <f t="shared" si="52"/>
        <v>1.4238314630900138E-2</v>
      </c>
      <c r="E813">
        <f t="shared" si="53"/>
        <v>2.3419943462312295E-2</v>
      </c>
      <c r="F813">
        <f t="shared" si="54"/>
        <v>3.3123272971519131E-2</v>
      </c>
      <c r="G813">
        <f t="shared" si="55"/>
        <v>-2.3419943462312295E-2</v>
      </c>
      <c r="H813">
        <f t="shared" si="56"/>
        <v>-3.3123272971519131E-2</v>
      </c>
    </row>
    <row r="814" spans="1:8" x14ac:dyDescent="0.2">
      <c r="A814" s="1">
        <v>45587</v>
      </c>
      <c r="B814">
        <v>234.322</v>
      </c>
      <c r="C814">
        <f t="shared" si="57"/>
        <v>-2.6211552771956558E-3</v>
      </c>
      <c r="D814">
        <f t="shared" si="52"/>
        <v>1.4240206014516563E-2</v>
      </c>
      <c r="E814">
        <f t="shared" si="53"/>
        <v>2.3423054511513729E-2</v>
      </c>
      <c r="F814">
        <f t="shared" si="54"/>
        <v>3.31276729877742E-2</v>
      </c>
      <c r="G814">
        <f t="shared" si="55"/>
        <v>-2.3423054511513729E-2</v>
      </c>
      <c r="H814">
        <f t="shared" si="56"/>
        <v>-3.31276729877742E-2</v>
      </c>
    </row>
    <row r="815" spans="1:8" x14ac:dyDescent="0.2">
      <c r="A815" s="1">
        <v>45588</v>
      </c>
      <c r="B815">
        <v>229.25299999999999</v>
      </c>
      <c r="C815">
        <f t="shared" si="57"/>
        <v>-2.1870040617902594E-2</v>
      </c>
      <c r="D815">
        <f t="shared" si="52"/>
        <v>1.4284444849163467E-2</v>
      </c>
      <c r="E815">
        <f t="shared" si="53"/>
        <v>2.3495820919134793E-2</v>
      </c>
      <c r="F815">
        <f t="shared" si="54"/>
        <v>3.3230587906705071E-2</v>
      </c>
      <c r="G815">
        <f t="shared" si="55"/>
        <v>-2.3495820919134793E-2</v>
      </c>
      <c r="H815">
        <f t="shared" si="56"/>
        <v>-3.3230587906705071E-2</v>
      </c>
    </row>
    <row r="816" spans="1:8" x14ac:dyDescent="0.2">
      <c r="A816" s="1">
        <v>45589</v>
      </c>
      <c r="B816">
        <v>229.06700000000001</v>
      </c>
      <c r="C816">
        <f t="shared" si="57"/>
        <v>-8.1166002012239026E-4</v>
      </c>
      <c r="D816">
        <f t="shared" si="52"/>
        <v>1.418840290233048E-2</v>
      </c>
      <c r="E816">
        <f t="shared" si="53"/>
        <v>2.3337845974547074E-2</v>
      </c>
      <c r="F816">
        <f t="shared" si="54"/>
        <v>3.3007160927871405E-2</v>
      </c>
      <c r="G816">
        <f t="shared" si="55"/>
        <v>-2.3337845974547074E-2</v>
      </c>
      <c r="H816">
        <f t="shared" si="56"/>
        <v>-3.3007160927871405E-2</v>
      </c>
    </row>
    <row r="817" spans="1:8" x14ac:dyDescent="0.2">
      <c r="A817" s="1">
        <v>45590</v>
      </c>
      <c r="B817">
        <v>229.90100000000001</v>
      </c>
      <c r="C817">
        <f t="shared" si="57"/>
        <v>3.6342442956246485E-3</v>
      </c>
      <c r="D817">
        <f t="shared" si="52"/>
        <v>1.4182961237416388E-2</v>
      </c>
      <c r="E817">
        <f t="shared" si="53"/>
        <v>2.3328895232276475E-2</v>
      </c>
      <c r="F817">
        <f t="shared" si="54"/>
        <v>3.2994501722267262E-2</v>
      </c>
      <c r="G817">
        <f t="shared" si="55"/>
        <v>-2.3328895232276475E-2</v>
      </c>
      <c r="H817">
        <f t="shared" si="56"/>
        <v>-3.2994501722267262E-2</v>
      </c>
    </row>
    <row r="818" spans="1:8" x14ac:dyDescent="0.2">
      <c r="A818" s="1">
        <v>45593</v>
      </c>
      <c r="B818">
        <v>231.876</v>
      </c>
      <c r="C818">
        <f t="shared" si="57"/>
        <v>8.5539645439194935E-3</v>
      </c>
      <c r="D818">
        <f t="shared" si="52"/>
        <v>1.4173445185402646E-2</v>
      </c>
      <c r="E818">
        <f t="shared" si="53"/>
        <v>2.3313242719607413E-2</v>
      </c>
      <c r="F818">
        <f t="shared" si="54"/>
        <v>3.2972364074895837E-2</v>
      </c>
      <c r="G818">
        <f t="shared" si="55"/>
        <v>-2.3313242719607413E-2</v>
      </c>
      <c r="H818">
        <f t="shared" si="56"/>
        <v>-3.2972364074895837E-2</v>
      </c>
    </row>
    <row r="819" spans="1:8" x14ac:dyDescent="0.2">
      <c r="A819" s="1">
        <v>45594</v>
      </c>
      <c r="B819">
        <v>232.14599999999999</v>
      </c>
      <c r="C819">
        <f t="shared" si="57"/>
        <v>1.1637380575552228E-3</v>
      </c>
      <c r="D819">
        <f t="shared" si="52"/>
        <v>1.4173118767018855E-2</v>
      </c>
      <c r="E819">
        <f t="shared" si="53"/>
        <v>2.3312705809144931E-2</v>
      </c>
      <c r="F819">
        <f t="shared" si="54"/>
        <v>3.2971604712182655E-2</v>
      </c>
      <c r="G819">
        <f t="shared" si="55"/>
        <v>-2.3312705809144931E-2</v>
      </c>
      <c r="H819">
        <f t="shared" si="56"/>
        <v>-3.2971604712182655E-2</v>
      </c>
    </row>
    <row r="820" spans="1:8" x14ac:dyDescent="0.2">
      <c r="A820" s="1">
        <v>45595</v>
      </c>
      <c r="B820">
        <v>228.59800000000001</v>
      </c>
      <c r="C820">
        <f t="shared" si="57"/>
        <v>-1.5401481662367043E-2</v>
      </c>
      <c r="D820">
        <f t="shared" si="52"/>
        <v>1.4169477931800163E-2</v>
      </c>
      <c r="E820">
        <f t="shared" si="53"/>
        <v>2.3306717168130334E-2</v>
      </c>
      <c r="F820">
        <f t="shared" si="54"/>
        <v>3.2963134862911921E-2</v>
      </c>
      <c r="G820">
        <f t="shared" si="55"/>
        <v>-2.3306717168130334E-2</v>
      </c>
      <c r="H820">
        <f t="shared" si="56"/>
        <v>-3.2963134862911921E-2</v>
      </c>
    </row>
    <row r="821" spans="1:8" x14ac:dyDescent="0.2">
      <c r="A821" s="1">
        <v>45596</v>
      </c>
      <c r="B821">
        <v>224.43600000000001</v>
      </c>
      <c r="C821">
        <f t="shared" si="57"/>
        <v>-1.8374413827188362E-2</v>
      </c>
      <c r="D821">
        <f t="shared" si="52"/>
        <v>1.4169569076958068E-2</v>
      </c>
      <c r="E821">
        <f t="shared" si="53"/>
        <v>2.3306867088573893E-2</v>
      </c>
      <c r="F821">
        <f t="shared" si="54"/>
        <v>3.2963346898256238E-2</v>
      </c>
      <c r="G821">
        <f t="shared" si="55"/>
        <v>-2.3306867088573893E-2</v>
      </c>
      <c r="H821">
        <f t="shared" si="56"/>
        <v>-3.2963346898256238E-2</v>
      </c>
    </row>
    <row r="822" spans="1:8" x14ac:dyDescent="0.2">
      <c r="A822" s="1">
        <v>45597</v>
      </c>
      <c r="B822">
        <v>221.45500000000001</v>
      </c>
      <c r="C822">
        <f t="shared" si="57"/>
        <v>-1.3371180014396666E-2</v>
      </c>
      <c r="D822">
        <f t="shared" si="52"/>
        <v>1.4193307005330271E-2</v>
      </c>
      <c r="E822">
        <f t="shared" si="53"/>
        <v>2.3345912506153227E-2</v>
      </c>
      <c r="F822">
        <f t="shared" si="54"/>
        <v>3.301856957745905E-2</v>
      </c>
      <c r="G822">
        <f t="shared" si="55"/>
        <v>-2.3345912506153227E-2</v>
      </c>
      <c r="H822">
        <f t="shared" si="56"/>
        <v>-3.301856957745905E-2</v>
      </c>
    </row>
    <row r="823" spans="1:8" x14ac:dyDescent="0.2">
      <c r="A823" s="1">
        <v>45600</v>
      </c>
      <c r="B823">
        <v>220.56100000000001</v>
      </c>
      <c r="C823">
        <f t="shared" si="57"/>
        <v>-4.045107955529214E-3</v>
      </c>
      <c r="D823">
        <f t="shared" si="52"/>
        <v>1.4170657293682963E-2</v>
      </c>
      <c r="E823">
        <f t="shared" si="53"/>
        <v>2.3308657045800745E-2</v>
      </c>
      <c r="F823">
        <f t="shared" si="54"/>
        <v>3.2965878468920698E-2</v>
      </c>
      <c r="G823">
        <f t="shared" si="55"/>
        <v>-2.3308657045800745E-2</v>
      </c>
      <c r="H823">
        <f t="shared" si="56"/>
        <v>-3.2965878468920698E-2</v>
      </c>
    </row>
    <row r="824" spans="1:8" x14ac:dyDescent="0.2">
      <c r="A824" s="1">
        <v>45601</v>
      </c>
      <c r="B824">
        <v>221.99199999999999</v>
      </c>
      <c r="C824">
        <f t="shared" si="57"/>
        <v>6.4670445679923215E-3</v>
      </c>
      <c r="D824">
        <f t="shared" si="52"/>
        <v>1.4149278639499652E-2</v>
      </c>
      <c r="E824">
        <f t="shared" si="53"/>
        <v>2.3273492288927985E-2</v>
      </c>
      <c r="F824">
        <f t="shared" si="54"/>
        <v>3.2916144282211499E-2</v>
      </c>
      <c r="G824">
        <f t="shared" si="55"/>
        <v>-2.3273492288927985E-2</v>
      </c>
      <c r="H824">
        <f t="shared" si="56"/>
        <v>-3.2916144282211499E-2</v>
      </c>
    </row>
    <row r="825" spans="1:8" x14ac:dyDescent="0.2">
      <c r="A825" s="1">
        <v>45602</v>
      </c>
      <c r="B825">
        <v>221.26599999999999</v>
      </c>
      <c r="C825">
        <f t="shared" si="57"/>
        <v>-3.2757475294137974E-3</v>
      </c>
      <c r="D825">
        <f t="shared" si="52"/>
        <v>1.4148089577121648E-2</v>
      </c>
      <c r="E825">
        <f t="shared" si="53"/>
        <v>2.3271536455362854E-2</v>
      </c>
      <c r="F825">
        <f t="shared" si="54"/>
        <v>3.2913378109476324E-2</v>
      </c>
      <c r="G825">
        <f t="shared" si="55"/>
        <v>-2.3271536455362854E-2</v>
      </c>
      <c r="H825">
        <f t="shared" si="56"/>
        <v>-3.2913378109476324E-2</v>
      </c>
    </row>
    <row r="826" spans="1:8" x14ac:dyDescent="0.2">
      <c r="A826" s="1">
        <v>45603</v>
      </c>
      <c r="B826">
        <v>225.99600000000001</v>
      </c>
      <c r="C826">
        <f t="shared" si="57"/>
        <v>2.1151702343094405E-2</v>
      </c>
      <c r="D826">
        <f t="shared" si="52"/>
        <v>1.4204729148352663E-2</v>
      </c>
      <c r="E826">
        <f t="shared" si="53"/>
        <v>2.3364700259531166E-2</v>
      </c>
      <c r="F826">
        <f t="shared" si="54"/>
        <v>3.3045141455596179E-2</v>
      </c>
      <c r="G826">
        <f t="shared" si="55"/>
        <v>-2.3364700259531166E-2</v>
      </c>
      <c r="H826">
        <f t="shared" si="56"/>
        <v>-3.3045141455596179E-2</v>
      </c>
    </row>
    <row r="827" spans="1:8" x14ac:dyDescent="0.2">
      <c r="A827" s="1">
        <v>45604</v>
      </c>
      <c r="B827">
        <v>225.727</v>
      </c>
      <c r="C827">
        <f t="shared" si="57"/>
        <v>-1.1909955074121746E-3</v>
      </c>
      <c r="D827">
        <f t="shared" si="52"/>
        <v>1.4136202993001288E-2</v>
      </c>
      <c r="E827">
        <f t="shared" si="53"/>
        <v>2.3251984764360415E-2</v>
      </c>
      <c r="F827">
        <f t="shared" si="54"/>
        <v>3.2885725779778316E-2</v>
      </c>
      <c r="G827">
        <f t="shared" si="55"/>
        <v>-2.3251984764360415E-2</v>
      </c>
      <c r="H827">
        <f t="shared" si="56"/>
        <v>-3.2885725779778316E-2</v>
      </c>
    </row>
    <row r="828" spans="1:8" x14ac:dyDescent="0.2">
      <c r="A828" s="1">
        <v>45607</v>
      </c>
      <c r="B828">
        <v>223.012</v>
      </c>
      <c r="C828">
        <f t="shared" si="57"/>
        <v>-1.2100722821682128E-2</v>
      </c>
      <c r="D828">
        <f t="shared" si="52"/>
        <v>1.4147255376013308E-2</v>
      </c>
      <c r="E828">
        <f t="shared" si="53"/>
        <v>2.3270164316644193E-2</v>
      </c>
      <c r="F828">
        <f t="shared" si="54"/>
        <v>3.2911437467501414E-2</v>
      </c>
      <c r="G828">
        <f t="shared" si="55"/>
        <v>-2.3270164316644193E-2</v>
      </c>
      <c r="H828">
        <f t="shared" si="56"/>
        <v>-3.2911437467501414E-2</v>
      </c>
    </row>
    <row r="829" spans="1:8" x14ac:dyDescent="0.2">
      <c r="A829" s="1">
        <v>45608</v>
      </c>
      <c r="B829">
        <v>223.012</v>
      </c>
      <c r="C829">
        <f t="shared" si="57"/>
        <v>0</v>
      </c>
      <c r="D829">
        <f t="shared" ref="D829:D892" si="58">_xlfn.STDEV.S(C580:C829)</f>
        <v>1.4121771098254571E-2</v>
      </c>
      <c r="E829">
        <f t="shared" ref="E829:E892" si="59">_xlfn.NORM.S.INV(0.95)*D829</f>
        <v>2.3228246409942498E-2</v>
      </c>
      <c r="F829">
        <f t="shared" ref="F829:F892" si="60">_xlfn.NORM.S.INV(0.99)*D829</f>
        <v>3.2852152172115907E-2</v>
      </c>
      <c r="G829">
        <f t="shared" ref="G829:G892" si="61">-E829</f>
        <v>-2.3228246409942498E-2</v>
      </c>
      <c r="H829">
        <f t="shared" ref="H829:H892" si="62">-F829</f>
        <v>-3.2852152172115907E-2</v>
      </c>
    </row>
    <row r="830" spans="1:8" x14ac:dyDescent="0.2">
      <c r="A830" s="1">
        <v>45609</v>
      </c>
      <c r="B830">
        <v>223.89699999999999</v>
      </c>
      <c r="C830">
        <f t="shared" si="57"/>
        <v>3.9605430046603766E-3</v>
      </c>
      <c r="D830">
        <f t="shared" si="58"/>
        <v>1.4122497009901728E-2</v>
      </c>
      <c r="E830">
        <f t="shared" si="59"/>
        <v>2.322944042834817E-2</v>
      </c>
      <c r="F830">
        <f t="shared" si="60"/>
        <v>3.2853840895133019E-2</v>
      </c>
      <c r="G830">
        <f t="shared" si="61"/>
        <v>-2.322944042834817E-2</v>
      </c>
      <c r="H830">
        <f t="shared" si="62"/>
        <v>-3.2853840895133019E-2</v>
      </c>
    </row>
    <row r="831" spans="1:8" x14ac:dyDescent="0.2">
      <c r="A831" s="1">
        <v>45610</v>
      </c>
      <c r="B831">
        <v>226.98</v>
      </c>
      <c r="C831">
        <f t="shared" si="57"/>
        <v>1.3675783196816373E-2</v>
      </c>
      <c r="D831">
        <f t="shared" si="58"/>
        <v>1.4136559642429589E-2</v>
      </c>
      <c r="E831">
        <f t="shared" si="59"/>
        <v>2.3252571400466108E-2</v>
      </c>
      <c r="F831">
        <f t="shared" si="60"/>
        <v>3.2886555470417619E-2</v>
      </c>
      <c r="G831">
        <f t="shared" si="61"/>
        <v>-2.3252571400466108E-2</v>
      </c>
      <c r="H831">
        <f t="shared" si="62"/>
        <v>-3.2886555470417619E-2</v>
      </c>
    </row>
    <row r="832" spans="1:8" x14ac:dyDescent="0.2">
      <c r="A832" s="1">
        <v>45611</v>
      </c>
      <c r="B832">
        <v>223.779</v>
      </c>
      <c r="C832">
        <f t="shared" si="57"/>
        <v>-1.4202950177993395E-2</v>
      </c>
      <c r="D832">
        <f t="shared" si="58"/>
        <v>1.4168102638139687E-2</v>
      </c>
      <c r="E832">
        <f t="shared" si="59"/>
        <v>2.3304455011364775E-2</v>
      </c>
      <c r="F832">
        <f t="shared" si="60"/>
        <v>3.2959935451428689E-2</v>
      </c>
      <c r="G832">
        <f t="shared" si="61"/>
        <v>-2.3304455011364775E-2</v>
      </c>
      <c r="H832">
        <f t="shared" si="62"/>
        <v>-3.2959935451428689E-2</v>
      </c>
    </row>
    <row r="833" spans="1:8" x14ac:dyDescent="0.2">
      <c r="A833" s="1">
        <v>45614</v>
      </c>
      <c r="B833">
        <v>226.78200000000001</v>
      </c>
      <c r="C833">
        <f t="shared" si="57"/>
        <v>1.3330245929658105E-2</v>
      </c>
      <c r="D833">
        <f t="shared" si="58"/>
        <v>1.4180354360333004E-2</v>
      </c>
      <c r="E833">
        <f t="shared" si="59"/>
        <v>2.3324607301050855E-2</v>
      </c>
      <c r="F833">
        <f t="shared" si="60"/>
        <v>3.298843721930645E-2</v>
      </c>
      <c r="G833">
        <f t="shared" si="61"/>
        <v>-2.3324607301050855E-2</v>
      </c>
      <c r="H833">
        <f t="shared" si="62"/>
        <v>-3.298843721930645E-2</v>
      </c>
    </row>
    <row r="834" spans="1:8" x14ac:dyDescent="0.2">
      <c r="A834" s="1">
        <v>45615</v>
      </c>
      <c r="B834">
        <v>227.04</v>
      </c>
      <c r="C834">
        <f t="shared" si="57"/>
        <v>1.1370097870751019E-3</v>
      </c>
      <c r="D834">
        <f t="shared" si="58"/>
        <v>1.4176870584512519E-2</v>
      </c>
      <c r="E834">
        <f t="shared" si="59"/>
        <v>2.3318876999757047E-2</v>
      </c>
      <c r="F834">
        <f t="shared" si="60"/>
        <v>3.2980332744832828E-2</v>
      </c>
      <c r="G834">
        <f t="shared" si="61"/>
        <v>-2.3318876999757047E-2</v>
      </c>
      <c r="H834">
        <f t="shared" si="62"/>
        <v>-3.2980332744832828E-2</v>
      </c>
    </row>
    <row r="835" spans="1:8" x14ac:dyDescent="0.2">
      <c r="A835" s="1">
        <v>45616</v>
      </c>
      <c r="B835">
        <v>227.755</v>
      </c>
      <c r="C835">
        <f t="shared" ref="C835:C898" si="63">LN(B835/B834)</f>
        <v>3.144276384168543E-3</v>
      </c>
      <c r="D835">
        <f t="shared" si="58"/>
        <v>1.4176600125758554E-2</v>
      </c>
      <c r="E835">
        <f t="shared" si="59"/>
        <v>2.3318432134694644E-2</v>
      </c>
      <c r="F835">
        <f t="shared" si="60"/>
        <v>3.2979703563685528E-2</v>
      </c>
      <c r="G835">
        <f t="shared" si="61"/>
        <v>-2.3318432134694644E-2</v>
      </c>
      <c r="H835">
        <f t="shared" si="62"/>
        <v>-3.2979703563685528E-2</v>
      </c>
    </row>
    <row r="836" spans="1:8" x14ac:dyDescent="0.2">
      <c r="A836" s="1">
        <v>45617</v>
      </c>
      <c r="B836">
        <v>227.27799999999999</v>
      </c>
      <c r="C836">
        <f t="shared" si="63"/>
        <v>-2.0965520070953575E-3</v>
      </c>
      <c r="D836">
        <f t="shared" si="58"/>
        <v>1.4169179070537812E-2</v>
      </c>
      <c r="E836">
        <f t="shared" si="59"/>
        <v>2.3306225585099E-2</v>
      </c>
      <c r="F836">
        <f t="shared" si="60"/>
        <v>3.2962439607649614E-2</v>
      </c>
      <c r="G836">
        <f t="shared" si="61"/>
        <v>-2.3306225585099E-2</v>
      </c>
      <c r="H836">
        <f t="shared" si="62"/>
        <v>-3.2962439607649614E-2</v>
      </c>
    </row>
    <row r="837" spans="1:8" x14ac:dyDescent="0.2">
      <c r="A837" s="1">
        <v>45618</v>
      </c>
      <c r="B837">
        <v>228.62100000000001</v>
      </c>
      <c r="C837">
        <f t="shared" si="63"/>
        <v>5.8916728697703978E-3</v>
      </c>
      <c r="D837">
        <f t="shared" si="58"/>
        <v>1.4172471326336219E-2</v>
      </c>
      <c r="E837">
        <f t="shared" si="59"/>
        <v>2.3311640863989864E-2</v>
      </c>
      <c r="F837">
        <f t="shared" si="60"/>
        <v>3.2970098539927037E-2</v>
      </c>
      <c r="G837">
        <f t="shared" si="61"/>
        <v>-2.3311640863989864E-2</v>
      </c>
      <c r="H837">
        <f t="shared" si="62"/>
        <v>-3.2970098539927037E-2</v>
      </c>
    </row>
    <row r="838" spans="1:8" x14ac:dyDescent="0.2">
      <c r="A838" s="1">
        <v>45621</v>
      </c>
      <c r="B838">
        <v>231.60400000000001</v>
      </c>
      <c r="C838">
        <f t="shared" si="63"/>
        <v>1.2963406048286746E-2</v>
      </c>
      <c r="D838">
        <f t="shared" si="58"/>
        <v>1.4192580952276079E-2</v>
      </c>
      <c r="E838">
        <f t="shared" si="59"/>
        <v>2.3344718255153676E-2</v>
      </c>
      <c r="F838">
        <f t="shared" si="60"/>
        <v>3.3016880525479984E-2</v>
      </c>
      <c r="G838">
        <f t="shared" si="61"/>
        <v>-2.3344718255153676E-2</v>
      </c>
      <c r="H838">
        <f t="shared" si="62"/>
        <v>-3.3016880525479984E-2</v>
      </c>
    </row>
    <row r="839" spans="1:8" x14ac:dyDescent="0.2">
      <c r="A839" s="1">
        <v>45622</v>
      </c>
      <c r="B839">
        <v>233.78200000000001</v>
      </c>
      <c r="C839">
        <f t="shared" si="63"/>
        <v>9.3600404879249765E-3</v>
      </c>
      <c r="D839">
        <f t="shared" si="58"/>
        <v>1.4197251198406946E-2</v>
      </c>
      <c r="E839">
        <f t="shared" si="59"/>
        <v>2.3352400126440791E-2</v>
      </c>
      <c r="F839">
        <f t="shared" si="60"/>
        <v>3.3027745142637781E-2</v>
      </c>
      <c r="G839">
        <f t="shared" si="61"/>
        <v>-2.3352400126440791E-2</v>
      </c>
      <c r="H839">
        <f t="shared" si="62"/>
        <v>-3.3027745142637781E-2</v>
      </c>
    </row>
    <row r="840" spans="1:8" x14ac:dyDescent="0.2">
      <c r="A840" s="1">
        <v>45623</v>
      </c>
      <c r="B840">
        <v>233.65299999999999</v>
      </c>
      <c r="C840">
        <f t="shared" si="63"/>
        <v>-5.5194841325520709E-4</v>
      </c>
      <c r="D840">
        <f t="shared" si="58"/>
        <v>1.4196870400806279E-2</v>
      </c>
      <c r="E840">
        <f t="shared" si="59"/>
        <v>2.3351773770126198E-2</v>
      </c>
      <c r="F840">
        <f t="shared" si="60"/>
        <v>3.3026859274949028E-2</v>
      </c>
      <c r="G840">
        <f t="shared" si="61"/>
        <v>-2.3351773770126198E-2</v>
      </c>
      <c r="H840">
        <f t="shared" si="62"/>
        <v>-3.3026859274949028E-2</v>
      </c>
    </row>
    <row r="841" spans="1:8" x14ac:dyDescent="0.2">
      <c r="A841" s="1">
        <v>45625</v>
      </c>
      <c r="B841">
        <v>236.041</v>
      </c>
      <c r="C841">
        <f t="shared" si="63"/>
        <v>1.0168409968533727E-2</v>
      </c>
      <c r="D841">
        <f t="shared" si="58"/>
        <v>1.4204177163168732E-2</v>
      </c>
      <c r="E841">
        <f t="shared" si="59"/>
        <v>2.3363792324699352E-2</v>
      </c>
      <c r="F841">
        <f t="shared" si="60"/>
        <v>3.3043857346037042E-2</v>
      </c>
      <c r="G841">
        <f t="shared" si="61"/>
        <v>-2.3363792324699352E-2</v>
      </c>
      <c r="H841">
        <f t="shared" si="62"/>
        <v>-3.3043857346037042E-2</v>
      </c>
    </row>
    <row r="842" spans="1:8" x14ac:dyDescent="0.2">
      <c r="A842" s="1">
        <v>45628</v>
      </c>
      <c r="B842">
        <v>238.28899999999999</v>
      </c>
      <c r="C842">
        <f t="shared" si="63"/>
        <v>9.4787039870700245E-3</v>
      </c>
      <c r="D842">
        <f t="shared" si="58"/>
        <v>1.4199185028453709E-2</v>
      </c>
      <c r="E842">
        <f t="shared" si="59"/>
        <v>2.3355580993807117E-2</v>
      </c>
      <c r="F842">
        <f t="shared" si="60"/>
        <v>3.3032243904055819E-2</v>
      </c>
      <c r="G842">
        <f t="shared" si="61"/>
        <v>-2.3355580993807117E-2</v>
      </c>
      <c r="H842">
        <f t="shared" si="62"/>
        <v>-3.3032243904055819E-2</v>
      </c>
    </row>
    <row r="843" spans="1:8" x14ac:dyDescent="0.2">
      <c r="A843" s="1">
        <v>45629</v>
      </c>
      <c r="B843">
        <v>241.333</v>
      </c>
      <c r="C843">
        <f t="shared" si="63"/>
        <v>1.2693499764046455E-2</v>
      </c>
      <c r="D843">
        <f t="shared" si="58"/>
        <v>1.4162712024555702E-2</v>
      </c>
      <c r="E843">
        <f t="shared" si="59"/>
        <v>2.3295588241059664E-2</v>
      </c>
      <c r="F843">
        <f t="shared" si="60"/>
        <v>3.2947395008977809E-2</v>
      </c>
      <c r="G843">
        <f t="shared" si="61"/>
        <v>-2.3295588241059664E-2</v>
      </c>
      <c r="H843">
        <f t="shared" si="62"/>
        <v>-3.2947395008977809E-2</v>
      </c>
    </row>
    <row r="844" spans="1:8" x14ac:dyDescent="0.2">
      <c r="A844" s="1">
        <v>45630</v>
      </c>
      <c r="B844">
        <v>241.68899999999999</v>
      </c>
      <c r="C844">
        <f t="shared" si="63"/>
        <v>1.4740532085938504E-3</v>
      </c>
      <c r="D844">
        <f t="shared" si="58"/>
        <v>1.415649853551443E-2</v>
      </c>
      <c r="E844">
        <f t="shared" si="59"/>
        <v>2.3285367961074104E-2</v>
      </c>
      <c r="F844">
        <f t="shared" si="60"/>
        <v>3.2932940271956271E-2</v>
      </c>
      <c r="G844">
        <f t="shared" si="61"/>
        <v>-2.3285367961074104E-2</v>
      </c>
      <c r="H844">
        <f t="shared" si="62"/>
        <v>-3.2932940271956271E-2</v>
      </c>
    </row>
    <row r="845" spans="1:8" x14ac:dyDescent="0.2">
      <c r="A845" s="1">
        <v>45631</v>
      </c>
      <c r="B845">
        <v>241.71899999999999</v>
      </c>
      <c r="C845">
        <f t="shared" si="63"/>
        <v>1.2411875698595349E-4</v>
      </c>
      <c r="D845">
        <f t="shared" si="58"/>
        <v>1.4144730201355763E-2</v>
      </c>
      <c r="E845">
        <f t="shared" si="59"/>
        <v>2.3266010773950047E-2</v>
      </c>
      <c r="F845">
        <f t="shared" si="60"/>
        <v>3.290556303280525E-2</v>
      </c>
      <c r="G845">
        <f t="shared" si="61"/>
        <v>-2.3266010773950047E-2</v>
      </c>
      <c r="H845">
        <f t="shared" si="62"/>
        <v>-3.290556303280525E-2</v>
      </c>
    </row>
    <row r="846" spans="1:8" x14ac:dyDescent="0.2">
      <c r="A846" s="1">
        <v>45632</v>
      </c>
      <c r="B846">
        <v>241.52</v>
      </c>
      <c r="C846">
        <f t="shared" si="63"/>
        <v>-8.2360906817949471E-4</v>
      </c>
      <c r="D846">
        <f t="shared" si="58"/>
        <v>1.4139160987359796E-2</v>
      </c>
      <c r="E846">
        <f t="shared" si="59"/>
        <v>2.3256850232109511E-2</v>
      </c>
      <c r="F846">
        <f t="shared" si="60"/>
        <v>3.2892607103665657E-2</v>
      </c>
      <c r="G846">
        <f t="shared" si="61"/>
        <v>-2.3256850232109511E-2</v>
      </c>
      <c r="H846">
        <f t="shared" si="62"/>
        <v>-3.2892607103665657E-2</v>
      </c>
    </row>
    <row r="847" spans="1:8" x14ac:dyDescent="0.2">
      <c r="A847" s="1">
        <v>45635</v>
      </c>
      <c r="B847">
        <v>245.40899999999999</v>
      </c>
      <c r="C847">
        <f t="shared" si="63"/>
        <v>1.5973921022348993E-2</v>
      </c>
      <c r="D847">
        <f t="shared" si="58"/>
        <v>1.4143610790715229E-2</v>
      </c>
      <c r="E847">
        <f t="shared" si="59"/>
        <v>2.3264169507297913E-2</v>
      </c>
      <c r="F847">
        <f t="shared" si="60"/>
        <v>3.2902958894241469E-2</v>
      </c>
      <c r="G847">
        <f t="shared" si="61"/>
        <v>-2.3264169507297913E-2</v>
      </c>
      <c r="H847">
        <f t="shared" si="62"/>
        <v>-3.2902958894241469E-2</v>
      </c>
    </row>
    <row r="848" spans="1:8" x14ac:dyDescent="0.2">
      <c r="A848" s="1">
        <v>45636</v>
      </c>
      <c r="B848">
        <v>246.42400000000001</v>
      </c>
      <c r="C848">
        <f t="shared" si="63"/>
        <v>4.1274230925100091E-3</v>
      </c>
      <c r="D848">
        <f t="shared" si="58"/>
        <v>1.4138243759868401E-2</v>
      </c>
      <c r="E848">
        <f t="shared" si="59"/>
        <v>2.325534152714355E-2</v>
      </c>
      <c r="F848">
        <f t="shared" si="60"/>
        <v>3.289047331344104E-2</v>
      </c>
      <c r="G848">
        <f t="shared" si="61"/>
        <v>-2.325534152714355E-2</v>
      </c>
      <c r="H848">
        <f t="shared" si="62"/>
        <v>-3.289047331344104E-2</v>
      </c>
    </row>
    <row r="849" spans="1:8" x14ac:dyDescent="0.2">
      <c r="A849" s="1">
        <v>45637</v>
      </c>
      <c r="B849">
        <v>245.15100000000001</v>
      </c>
      <c r="C849">
        <f t="shared" si="63"/>
        <v>-5.1792822892963867E-3</v>
      </c>
      <c r="D849">
        <f t="shared" si="58"/>
        <v>1.4108920616691762E-2</v>
      </c>
      <c r="E849">
        <f t="shared" si="59"/>
        <v>2.3207109248735838E-2</v>
      </c>
      <c r="F849">
        <f t="shared" si="60"/>
        <v>3.2822257481651872E-2</v>
      </c>
      <c r="G849">
        <f t="shared" si="61"/>
        <v>-2.3207109248735838E-2</v>
      </c>
      <c r="H849">
        <f t="shared" si="62"/>
        <v>-3.2822257481651872E-2</v>
      </c>
    </row>
    <row r="850" spans="1:8" x14ac:dyDescent="0.2">
      <c r="A850" s="1">
        <v>45638</v>
      </c>
      <c r="B850">
        <v>246.614</v>
      </c>
      <c r="C850">
        <f t="shared" si="63"/>
        <v>5.9500139951910742E-3</v>
      </c>
      <c r="D850">
        <f t="shared" si="58"/>
        <v>1.4112536733320401E-2</v>
      </c>
      <c r="E850">
        <f t="shared" si="59"/>
        <v>2.3213057231287932E-2</v>
      </c>
      <c r="F850">
        <f t="shared" si="60"/>
        <v>3.2830669826883187E-2</v>
      </c>
      <c r="G850">
        <f t="shared" si="61"/>
        <v>-2.3213057231287932E-2</v>
      </c>
      <c r="H850">
        <f t="shared" si="62"/>
        <v>-3.2830669826883187E-2</v>
      </c>
    </row>
    <row r="851" spans="1:8" x14ac:dyDescent="0.2">
      <c r="A851" s="1">
        <v>45639</v>
      </c>
      <c r="B851">
        <v>246.78100000000001</v>
      </c>
      <c r="C851">
        <f t="shared" si="63"/>
        <v>6.7694243507673152E-4</v>
      </c>
      <c r="D851">
        <f t="shared" si="58"/>
        <v>1.4110642988017308E-2</v>
      </c>
      <c r="E851">
        <f t="shared" si="59"/>
        <v>2.3209942297457618E-2</v>
      </c>
      <c r="F851">
        <f t="shared" si="60"/>
        <v>3.2826264316523364E-2</v>
      </c>
      <c r="G851">
        <f t="shared" si="61"/>
        <v>-2.3209942297457618E-2</v>
      </c>
      <c r="H851">
        <f t="shared" si="62"/>
        <v>-3.2826264316523364E-2</v>
      </c>
    </row>
    <row r="852" spans="1:8" x14ac:dyDescent="0.2">
      <c r="A852" s="1">
        <v>45642</v>
      </c>
      <c r="B852">
        <v>249.67599999999999</v>
      </c>
      <c r="C852">
        <f t="shared" si="63"/>
        <v>1.1662773673532528E-2</v>
      </c>
      <c r="D852">
        <f t="shared" si="58"/>
        <v>1.4114046257854731E-2</v>
      </c>
      <c r="E852">
        <f t="shared" si="59"/>
        <v>2.3215540178193196E-2</v>
      </c>
      <c r="F852">
        <f t="shared" si="60"/>
        <v>3.2834181506074436E-2</v>
      </c>
      <c r="G852">
        <f t="shared" si="61"/>
        <v>-2.3215540178193196E-2</v>
      </c>
      <c r="H852">
        <f t="shared" si="62"/>
        <v>-3.2834181506074436E-2</v>
      </c>
    </row>
    <row r="853" spans="1:8" x14ac:dyDescent="0.2">
      <c r="A853" s="1">
        <v>45643</v>
      </c>
      <c r="B853">
        <v>252.102</v>
      </c>
      <c r="C853">
        <f t="shared" si="63"/>
        <v>9.6696901942369008E-3</v>
      </c>
      <c r="D853">
        <f t="shared" si="58"/>
        <v>1.4122026884605137E-2</v>
      </c>
      <c r="E853">
        <f t="shared" si="59"/>
        <v>2.3228667141048948E-2</v>
      </c>
      <c r="F853">
        <f t="shared" si="60"/>
        <v>3.2852747220148755E-2</v>
      </c>
      <c r="G853">
        <f t="shared" si="61"/>
        <v>-2.3228667141048948E-2</v>
      </c>
      <c r="H853">
        <f t="shared" si="62"/>
        <v>-3.2852747220148755E-2</v>
      </c>
    </row>
    <row r="854" spans="1:8" x14ac:dyDescent="0.2">
      <c r="A854" s="1">
        <v>45644</v>
      </c>
      <c r="B854">
        <v>246.703</v>
      </c>
      <c r="C854">
        <f t="shared" si="63"/>
        <v>-2.1648583541961725E-2</v>
      </c>
      <c r="D854">
        <f t="shared" si="58"/>
        <v>1.4175171927095829E-2</v>
      </c>
      <c r="E854">
        <f t="shared" si="59"/>
        <v>2.3316082956944255E-2</v>
      </c>
      <c r="F854">
        <f t="shared" si="60"/>
        <v>3.297638107676279E-2</v>
      </c>
      <c r="G854">
        <f t="shared" si="61"/>
        <v>-2.3316082956944255E-2</v>
      </c>
      <c r="H854">
        <f t="shared" si="62"/>
        <v>-3.297638107676279E-2</v>
      </c>
    </row>
    <row r="855" spans="1:8" x14ac:dyDescent="0.2">
      <c r="A855" s="1">
        <v>45645</v>
      </c>
      <c r="B855">
        <v>248.434</v>
      </c>
      <c r="C855">
        <f t="shared" si="63"/>
        <v>6.9920327188778024E-3</v>
      </c>
      <c r="D855">
        <f t="shared" si="58"/>
        <v>1.4179814855013378E-2</v>
      </c>
      <c r="E855">
        <f t="shared" si="59"/>
        <v>2.3323719893769111E-2</v>
      </c>
      <c r="F855">
        <f t="shared" si="60"/>
        <v>3.2987182142253109E-2</v>
      </c>
      <c r="G855">
        <f t="shared" si="61"/>
        <v>-2.3323719893769111E-2</v>
      </c>
      <c r="H855">
        <f t="shared" si="62"/>
        <v>-3.2987182142253109E-2</v>
      </c>
    </row>
    <row r="856" spans="1:8" x14ac:dyDescent="0.2">
      <c r="A856" s="1">
        <v>45646</v>
      </c>
      <c r="B856">
        <v>253.107</v>
      </c>
      <c r="C856">
        <f t="shared" si="63"/>
        <v>1.8635107522078503E-2</v>
      </c>
      <c r="D856">
        <f t="shared" si="58"/>
        <v>1.421724066363902E-2</v>
      </c>
      <c r="E856">
        <f t="shared" si="59"/>
        <v>2.3385279870828588E-2</v>
      </c>
      <c r="F856">
        <f t="shared" si="60"/>
        <v>3.3074247592583622E-2</v>
      </c>
      <c r="G856">
        <f t="shared" si="61"/>
        <v>-2.3385279870828588E-2</v>
      </c>
      <c r="H856">
        <f t="shared" si="62"/>
        <v>-3.3074247592583622E-2</v>
      </c>
    </row>
    <row r="857" spans="1:8" x14ac:dyDescent="0.2">
      <c r="A857" s="1">
        <v>45649</v>
      </c>
      <c r="B857">
        <v>253.88300000000001</v>
      </c>
      <c r="C857">
        <f t="shared" si="63"/>
        <v>3.0612067535469309E-3</v>
      </c>
      <c r="D857">
        <f t="shared" si="58"/>
        <v>1.4215551563860118E-2</v>
      </c>
      <c r="E857">
        <f t="shared" si="59"/>
        <v>2.3382501548930977E-2</v>
      </c>
      <c r="F857">
        <f t="shared" si="60"/>
        <v>3.3070318158903933E-2</v>
      </c>
      <c r="G857">
        <f t="shared" si="61"/>
        <v>-2.3382501548930977E-2</v>
      </c>
      <c r="H857">
        <f t="shared" si="62"/>
        <v>-3.3070318158903933E-2</v>
      </c>
    </row>
    <row r="858" spans="1:8" x14ac:dyDescent="0.2">
      <c r="A858" s="1">
        <v>45650</v>
      </c>
      <c r="B858">
        <v>256.79700000000003</v>
      </c>
      <c r="C858">
        <f t="shared" si="63"/>
        <v>1.1412358529852997E-2</v>
      </c>
      <c r="D858">
        <f t="shared" si="58"/>
        <v>1.4230337842281797E-2</v>
      </c>
      <c r="E858">
        <f t="shared" si="59"/>
        <v>2.3406822812621991E-2</v>
      </c>
      <c r="F858">
        <f t="shared" si="60"/>
        <v>3.3104716186275182E-2</v>
      </c>
      <c r="G858">
        <f t="shared" si="61"/>
        <v>-2.3406822812621991E-2</v>
      </c>
      <c r="H858">
        <f t="shared" si="62"/>
        <v>-3.3104716186275182E-2</v>
      </c>
    </row>
    <row r="859" spans="1:8" x14ac:dyDescent="0.2">
      <c r="A859" s="1">
        <v>45652</v>
      </c>
      <c r="B859">
        <v>257.613</v>
      </c>
      <c r="C859">
        <f t="shared" si="63"/>
        <v>3.1725692907725459E-3</v>
      </c>
      <c r="D859">
        <f t="shared" si="58"/>
        <v>1.4230747620465568E-2</v>
      </c>
      <c r="E859">
        <f t="shared" si="59"/>
        <v>2.3407496837753814E-2</v>
      </c>
      <c r="F859">
        <f t="shared" si="60"/>
        <v>3.3105669472881828E-2</v>
      </c>
      <c r="G859">
        <f t="shared" si="61"/>
        <v>-2.3407496837753814E-2</v>
      </c>
      <c r="H859">
        <f t="shared" si="62"/>
        <v>-3.3105669472881828E-2</v>
      </c>
    </row>
    <row r="860" spans="1:8" x14ac:dyDescent="0.2">
      <c r="A860" s="1">
        <v>45653</v>
      </c>
      <c r="B860">
        <v>254.20099999999999</v>
      </c>
      <c r="C860">
        <f t="shared" si="63"/>
        <v>-1.3333166137427589E-2</v>
      </c>
      <c r="D860">
        <f t="shared" si="58"/>
        <v>1.4254254113301418E-2</v>
      </c>
      <c r="E860">
        <f t="shared" si="59"/>
        <v>2.344616157775177E-2</v>
      </c>
      <c r="F860">
        <f t="shared" si="60"/>
        <v>3.3160353752516664E-2</v>
      </c>
      <c r="G860">
        <f t="shared" si="61"/>
        <v>-2.344616157775177E-2</v>
      </c>
      <c r="H860">
        <f t="shared" si="62"/>
        <v>-3.3160353752516664E-2</v>
      </c>
    </row>
    <row r="861" spans="1:8" x14ac:dyDescent="0.2">
      <c r="A861" s="1">
        <v>45656</v>
      </c>
      <c r="B861">
        <v>250.83</v>
      </c>
      <c r="C861">
        <f t="shared" si="63"/>
        <v>-1.3349873827846392E-2</v>
      </c>
      <c r="D861">
        <f t="shared" si="58"/>
        <v>1.4083399489304673E-2</v>
      </c>
      <c r="E861">
        <f t="shared" si="59"/>
        <v>2.3165130729789294E-2</v>
      </c>
      <c r="F861">
        <f t="shared" si="60"/>
        <v>3.2762886461211789E-2</v>
      </c>
      <c r="G861">
        <f t="shared" si="61"/>
        <v>-2.3165130729789294E-2</v>
      </c>
      <c r="H861">
        <f t="shared" si="62"/>
        <v>-3.2762886461211789E-2</v>
      </c>
    </row>
    <row r="862" spans="1:8" x14ac:dyDescent="0.2">
      <c r="A862" s="1">
        <v>45657</v>
      </c>
      <c r="B862">
        <v>249.059</v>
      </c>
      <c r="C862">
        <f t="shared" si="63"/>
        <v>-7.0856026418982983E-3</v>
      </c>
      <c r="D862">
        <f t="shared" si="58"/>
        <v>1.4082360679931448E-2</v>
      </c>
      <c r="E862">
        <f t="shared" si="59"/>
        <v>2.3163422040424032E-2</v>
      </c>
      <c r="F862">
        <f t="shared" si="60"/>
        <v>3.2760469829234855E-2</v>
      </c>
      <c r="G862">
        <f t="shared" si="61"/>
        <v>-2.3163422040424032E-2</v>
      </c>
      <c r="H862">
        <f t="shared" si="62"/>
        <v>-3.2760469829234855E-2</v>
      </c>
    </row>
    <row r="863" spans="1:8" x14ac:dyDescent="0.2">
      <c r="A863" s="1">
        <v>45659</v>
      </c>
      <c r="B863">
        <v>242.52500000000001</v>
      </c>
      <c r="C863">
        <f t="shared" si="63"/>
        <v>-2.6585018340830806E-2</v>
      </c>
      <c r="D863">
        <f t="shared" si="58"/>
        <v>1.4164382447810689E-2</v>
      </c>
      <c r="E863">
        <f t="shared" si="59"/>
        <v>2.3298335842809173E-2</v>
      </c>
      <c r="F863">
        <f t="shared" si="60"/>
        <v>3.2951280994565797E-2</v>
      </c>
      <c r="G863">
        <f t="shared" si="61"/>
        <v>-2.3298335842809173E-2</v>
      </c>
      <c r="H863">
        <f t="shared" si="62"/>
        <v>-3.2951280994565797E-2</v>
      </c>
    </row>
    <row r="864" spans="1:8" x14ac:dyDescent="0.2">
      <c r="A864" s="1">
        <v>45660</v>
      </c>
      <c r="B864">
        <v>242.03899999999999</v>
      </c>
      <c r="C864">
        <f t="shared" si="63"/>
        <v>-2.0059276502658323E-3</v>
      </c>
      <c r="D864">
        <f t="shared" si="58"/>
        <v>1.4161981342981609E-2</v>
      </c>
      <c r="E864">
        <f t="shared" si="59"/>
        <v>2.3294386376822372E-2</v>
      </c>
      <c r="F864">
        <f t="shared" si="60"/>
        <v>3.294569518945132E-2</v>
      </c>
      <c r="G864">
        <f t="shared" si="61"/>
        <v>-2.3294386376822372E-2</v>
      </c>
      <c r="H864">
        <f t="shared" si="62"/>
        <v>-3.294569518945132E-2</v>
      </c>
    </row>
    <row r="865" spans="1:8" x14ac:dyDescent="0.2">
      <c r="A865" s="1">
        <v>45663</v>
      </c>
      <c r="B865">
        <v>243.66900000000001</v>
      </c>
      <c r="C865">
        <f t="shared" si="63"/>
        <v>6.7118767621311901E-3</v>
      </c>
      <c r="D865">
        <f t="shared" si="58"/>
        <v>1.4092969960716234E-2</v>
      </c>
      <c r="E865">
        <f t="shared" si="59"/>
        <v>2.3180872754402237E-2</v>
      </c>
      <c r="F865">
        <f t="shared" si="60"/>
        <v>3.2785150707033646E-2</v>
      </c>
      <c r="G865">
        <f t="shared" si="61"/>
        <v>-2.3180872754402237E-2</v>
      </c>
      <c r="H865">
        <f t="shared" si="62"/>
        <v>-3.2785150707033646E-2</v>
      </c>
    </row>
    <row r="866" spans="1:8" x14ac:dyDescent="0.2">
      <c r="A866" s="1">
        <v>45664</v>
      </c>
      <c r="B866">
        <v>240.89400000000001</v>
      </c>
      <c r="C866">
        <f t="shared" si="63"/>
        <v>-1.1453744248810531E-2</v>
      </c>
      <c r="D866">
        <f t="shared" si="58"/>
        <v>1.4113837283827532E-2</v>
      </c>
      <c r="E866">
        <f t="shared" si="59"/>
        <v>2.321519644650662E-2</v>
      </c>
      <c r="F866">
        <f t="shared" si="60"/>
        <v>3.2833695359790534E-2</v>
      </c>
      <c r="G866">
        <f t="shared" si="61"/>
        <v>-2.321519644650662E-2</v>
      </c>
      <c r="H866">
        <f t="shared" si="62"/>
        <v>-3.2833695359790534E-2</v>
      </c>
    </row>
    <row r="867" spans="1:8" x14ac:dyDescent="0.2">
      <c r="A867" s="1">
        <v>45665</v>
      </c>
      <c r="B867">
        <v>241.38200000000001</v>
      </c>
      <c r="C867">
        <f t="shared" si="63"/>
        <v>2.0237381356359016E-3</v>
      </c>
      <c r="D867">
        <f t="shared" si="58"/>
        <v>1.4111001178802112E-2</v>
      </c>
      <c r="E867">
        <f t="shared" si="59"/>
        <v>2.3210531468869144E-2</v>
      </c>
      <c r="F867">
        <f t="shared" si="60"/>
        <v>3.2827097592894088E-2</v>
      </c>
      <c r="G867">
        <f t="shared" si="61"/>
        <v>-2.3210531468869144E-2</v>
      </c>
      <c r="H867">
        <f t="shared" si="62"/>
        <v>-3.2827097592894088E-2</v>
      </c>
    </row>
    <row r="868" spans="1:8" x14ac:dyDescent="0.2">
      <c r="A868" s="1">
        <v>45667</v>
      </c>
      <c r="B868">
        <v>235.56299999999999</v>
      </c>
      <c r="C868">
        <f t="shared" si="63"/>
        <v>-2.4402347242003131E-2</v>
      </c>
      <c r="D868">
        <f t="shared" si="58"/>
        <v>1.4200218544265992E-2</v>
      </c>
      <c r="E868">
        <f t="shared" si="59"/>
        <v>2.3357280976039462E-2</v>
      </c>
      <c r="F868">
        <f t="shared" si="60"/>
        <v>3.3034648221368514E-2</v>
      </c>
      <c r="G868">
        <f t="shared" si="61"/>
        <v>-2.3357280976039462E-2</v>
      </c>
      <c r="H868">
        <f t="shared" si="62"/>
        <v>-3.3034648221368514E-2</v>
      </c>
    </row>
    <row r="869" spans="1:8" x14ac:dyDescent="0.2">
      <c r="A869" s="1">
        <v>45670</v>
      </c>
      <c r="B869">
        <v>233.12700000000001</v>
      </c>
      <c r="C869">
        <f t="shared" si="63"/>
        <v>-1.0395024154283115E-2</v>
      </c>
      <c r="D869">
        <f t="shared" si="58"/>
        <v>1.4218381942996034E-2</v>
      </c>
      <c r="E869">
        <f t="shared" si="59"/>
        <v>2.3387157108318339E-2</v>
      </c>
      <c r="F869">
        <f t="shared" si="60"/>
        <v>3.3076902605389501E-2</v>
      </c>
      <c r="G869">
        <f t="shared" si="61"/>
        <v>-2.3387157108318339E-2</v>
      </c>
      <c r="H869">
        <f t="shared" si="62"/>
        <v>-3.3076902605389501E-2</v>
      </c>
    </row>
    <row r="870" spans="1:8" x14ac:dyDescent="0.2">
      <c r="A870" s="1">
        <v>45671</v>
      </c>
      <c r="B870">
        <v>232.01300000000001</v>
      </c>
      <c r="C870">
        <f t="shared" si="63"/>
        <v>-4.7899648705561028E-3</v>
      </c>
      <c r="D870">
        <f t="shared" si="58"/>
        <v>1.4197858673502478E-2</v>
      </c>
      <c r="E870">
        <f t="shared" si="59"/>
        <v>2.3353399334054961E-2</v>
      </c>
      <c r="F870">
        <f t="shared" si="60"/>
        <v>3.3029158341034801E-2</v>
      </c>
      <c r="G870">
        <f t="shared" si="61"/>
        <v>-2.3353399334054961E-2</v>
      </c>
      <c r="H870">
        <f t="shared" si="62"/>
        <v>-3.3029158341034801E-2</v>
      </c>
    </row>
    <row r="871" spans="1:8" x14ac:dyDescent="0.2">
      <c r="A871" s="1">
        <v>45672</v>
      </c>
      <c r="B871">
        <v>236.578</v>
      </c>
      <c r="C871">
        <f t="shared" si="63"/>
        <v>1.9484558702678526E-2</v>
      </c>
      <c r="D871">
        <f t="shared" si="58"/>
        <v>1.4240515173353232E-2</v>
      </c>
      <c r="E871">
        <f t="shared" si="59"/>
        <v>2.3423563032547525E-2</v>
      </c>
      <c r="F871">
        <f t="shared" si="60"/>
        <v>3.3128392198776627E-2</v>
      </c>
      <c r="G871">
        <f t="shared" si="61"/>
        <v>-2.3423563032547525E-2</v>
      </c>
      <c r="H871">
        <f t="shared" si="62"/>
        <v>-3.3128392198776627E-2</v>
      </c>
    </row>
    <row r="872" spans="1:8" x14ac:dyDescent="0.2">
      <c r="A872" s="1">
        <v>45673</v>
      </c>
      <c r="B872">
        <v>227.02</v>
      </c>
      <c r="C872">
        <f t="shared" si="63"/>
        <v>-4.1239843954680847E-2</v>
      </c>
      <c r="D872">
        <f t="shared" si="58"/>
        <v>1.4354211778568372E-2</v>
      </c>
      <c r="E872">
        <f t="shared" si="59"/>
        <v>2.361057730600772E-2</v>
      </c>
      <c r="F872">
        <f t="shared" si="60"/>
        <v>3.3392890054604524E-2</v>
      </c>
      <c r="G872">
        <f t="shared" si="61"/>
        <v>-2.361057730600772E-2</v>
      </c>
      <c r="H872">
        <f t="shared" si="62"/>
        <v>-3.3392890054604524E-2</v>
      </c>
    </row>
    <row r="873" spans="1:8" x14ac:dyDescent="0.2">
      <c r="A873" s="1">
        <v>45674</v>
      </c>
      <c r="B873">
        <v>228.73</v>
      </c>
      <c r="C873">
        <f t="shared" si="63"/>
        <v>7.5041493120747938E-3</v>
      </c>
      <c r="D873">
        <f t="shared" si="58"/>
        <v>1.4330506053287635E-2</v>
      </c>
      <c r="E873">
        <f t="shared" si="59"/>
        <v>2.3571584857800185E-2</v>
      </c>
      <c r="F873">
        <f t="shared" si="60"/>
        <v>3.3337742290995086E-2</v>
      </c>
      <c r="G873">
        <f t="shared" si="61"/>
        <v>-2.3571584857800185E-2</v>
      </c>
      <c r="H873">
        <f t="shared" si="62"/>
        <v>-3.3337742290995086E-2</v>
      </c>
    </row>
    <row r="874" spans="1:8" x14ac:dyDescent="0.2">
      <c r="A874" s="1">
        <v>45678</v>
      </c>
      <c r="B874">
        <v>221.43</v>
      </c>
      <c r="C874">
        <f t="shared" si="63"/>
        <v>-3.243575618919757E-2</v>
      </c>
      <c r="D874">
        <f t="shared" si="58"/>
        <v>1.4465070229065567E-2</v>
      </c>
      <c r="E874">
        <f t="shared" si="59"/>
        <v>2.3792923230386252E-2</v>
      </c>
      <c r="F874">
        <f t="shared" si="60"/>
        <v>3.3650785375238142E-2</v>
      </c>
      <c r="G874">
        <f t="shared" si="61"/>
        <v>-2.3792923230386252E-2</v>
      </c>
      <c r="H874">
        <f t="shared" si="62"/>
        <v>-3.3650785375238142E-2</v>
      </c>
    </row>
    <row r="875" spans="1:8" x14ac:dyDescent="0.2">
      <c r="A875" s="1">
        <v>45679</v>
      </c>
      <c r="B875">
        <v>222.614</v>
      </c>
      <c r="C875">
        <f t="shared" si="63"/>
        <v>5.3328174954478226E-3</v>
      </c>
      <c r="D875">
        <f t="shared" si="58"/>
        <v>1.4463125579312732E-2</v>
      </c>
      <c r="E875">
        <f t="shared" si="59"/>
        <v>2.3789724566187151E-2</v>
      </c>
      <c r="F875">
        <f t="shared" si="60"/>
        <v>3.3646261443419874E-2</v>
      </c>
      <c r="G875">
        <f t="shared" si="61"/>
        <v>-2.3789724566187151E-2</v>
      </c>
      <c r="H875">
        <f t="shared" si="62"/>
        <v>-3.3646261443419874E-2</v>
      </c>
    </row>
    <row r="876" spans="1:8" x14ac:dyDescent="0.2">
      <c r="A876" s="1">
        <v>45680</v>
      </c>
      <c r="B876">
        <v>222.44399999999999</v>
      </c>
      <c r="C876">
        <f t="shared" si="63"/>
        <v>-7.6394541056611618E-4</v>
      </c>
      <c r="D876">
        <f t="shared" si="58"/>
        <v>1.4461081757777054E-2</v>
      </c>
      <c r="E876">
        <f t="shared" si="59"/>
        <v>2.3786362778921349E-2</v>
      </c>
      <c r="F876">
        <f t="shared" si="60"/>
        <v>3.3641506803535434E-2</v>
      </c>
      <c r="G876">
        <f t="shared" si="61"/>
        <v>-2.3786362778921349E-2</v>
      </c>
      <c r="H876">
        <f t="shared" si="62"/>
        <v>-3.3641506803535434E-2</v>
      </c>
    </row>
    <row r="877" spans="1:8" x14ac:dyDescent="0.2">
      <c r="A877" s="1">
        <v>45681</v>
      </c>
      <c r="B877">
        <v>221.57</v>
      </c>
      <c r="C877">
        <f t="shared" si="63"/>
        <v>-3.9368178877678866E-3</v>
      </c>
      <c r="D877">
        <f t="shared" si="58"/>
        <v>1.4463188774915712E-2</v>
      </c>
      <c r="E877">
        <f t="shared" si="59"/>
        <v>2.3789828513703919E-2</v>
      </c>
      <c r="F877">
        <f t="shared" si="60"/>
        <v>3.364640845837652E-2</v>
      </c>
      <c r="G877">
        <f t="shared" si="61"/>
        <v>-2.3789828513703919E-2</v>
      </c>
      <c r="H877">
        <f t="shared" si="62"/>
        <v>-3.364640845837652E-2</v>
      </c>
    </row>
    <row r="878" spans="1:8" x14ac:dyDescent="0.2">
      <c r="A878" s="1">
        <v>45684</v>
      </c>
      <c r="B878">
        <v>228.61099999999999</v>
      </c>
      <c r="C878">
        <f t="shared" si="63"/>
        <v>3.1283302540971183E-2</v>
      </c>
      <c r="D878">
        <f t="shared" si="58"/>
        <v>1.4579943399611659E-2</v>
      </c>
      <c r="E878">
        <f t="shared" si="59"/>
        <v>2.3981872781598405E-2</v>
      </c>
      <c r="F878">
        <f t="shared" si="60"/>
        <v>3.3918020331322372E-2</v>
      </c>
      <c r="G878">
        <f t="shared" si="61"/>
        <v>-2.3981872781598405E-2</v>
      </c>
      <c r="H878">
        <f t="shared" si="62"/>
        <v>-3.3918020331322372E-2</v>
      </c>
    </row>
    <row r="879" spans="1:8" x14ac:dyDescent="0.2">
      <c r="A879" s="1">
        <v>45685</v>
      </c>
      <c r="B879">
        <v>236.965</v>
      </c>
      <c r="C879">
        <f t="shared" si="63"/>
        <v>3.5890581716415557E-2</v>
      </c>
      <c r="D879">
        <f t="shared" si="58"/>
        <v>1.4745818841120006E-2</v>
      </c>
      <c r="E879">
        <f t="shared" si="59"/>
        <v>2.4254713603185585E-2</v>
      </c>
      <c r="F879">
        <f t="shared" si="60"/>
        <v>3.4303904312030897E-2</v>
      </c>
      <c r="G879">
        <f t="shared" si="61"/>
        <v>-2.4254713603185585E-2</v>
      </c>
      <c r="H879">
        <f t="shared" si="62"/>
        <v>-3.4303904312030897E-2</v>
      </c>
    </row>
    <row r="880" spans="1:8" x14ac:dyDescent="0.2">
      <c r="A880" s="1">
        <v>45686</v>
      </c>
      <c r="B880">
        <v>238.059</v>
      </c>
      <c r="C880">
        <f t="shared" si="63"/>
        <v>4.6060912046476717E-3</v>
      </c>
      <c r="D880">
        <f t="shared" si="58"/>
        <v>1.4691016569005316E-2</v>
      </c>
      <c r="E880">
        <f t="shared" si="59"/>
        <v>2.4164571887132558E-2</v>
      </c>
      <c r="F880">
        <f t="shared" si="60"/>
        <v>3.4176415162804286E-2</v>
      </c>
      <c r="G880">
        <f t="shared" si="61"/>
        <v>-2.4164571887132558E-2</v>
      </c>
      <c r="H880">
        <f t="shared" si="62"/>
        <v>-3.4176415162804286E-2</v>
      </c>
    </row>
    <row r="881" spans="1:8" x14ac:dyDescent="0.2">
      <c r="A881" s="1">
        <v>45687</v>
      </c>
      <c r="B881">
        <v>236.29900000000001</v>
      </c>
      <c r="C881">
        <f t="shared" si="63"/>
        <v>-7.4205898339022103E-3</v>
      </c>
      <c r="D881">
        <f t="shared" si="58"/>
        <v>1.4642908702854019E-2</v>
      </c>
      <c r="E881">
        <f t="shared" si="59"/>
        <v>2.4085441489008701E-2</v>
      </c>
      <c r="F881">
        <f t="shared" si="60"/>
        <v>3.4064499530658571E-2</v>
      </c>
      <c r="G881">
        <f t="shared" si="61"/>
        <v>-2.4085441489008701E-2</v>
      </c>
      <c r="H881">
        <f t="shared" si="62"/>
        <v>-3.4064499530658571E-2</v>
      </c>
    </row>
    <row r="882" spans="1:8" x14ac:dyDescent="0.2">
      <c r="A882" s="1">
        <v>45688</v>
      </c>
      <c r="B882">
        <v>234.71700000000001</v>
      </c>
      <c r="C882">
        <f t="shared" si="63"/>
        <v>-6.7174191484193433E-3</v>
      </c>
      <c r="D882">
        <f t="shared" si="58"/>
        <v>1.4630405985854897E-2</v>
      </c>
      <c r="E882">
        <f t="shared" si="59"/>
        <v>2.4064876349605947E-2</v>
      </c>
      <c r="F882">
        <f t="shared" si="60"/>
        <v>3.4035413861547931E-2</v>
      </c>
      <c r="G882">
        <f t="shared" si="61"/>
        <v>-2.4064876349605947E-2</v>
      </c>
      <c r="H882">
        <f t="shared" si="62"/>
        <v>-3.4035413861547931E-2</v>
      </c>
    </row>
    <row r="883" spans="1:8" x14ac:dyDescent="0.2">
      <c r="A883" s="1">
        <v>45691</v>
      </c>
      <c r="B883">
        <v>226.77199999999999</v>
      </c>
      <c r="C883">
        <f t="shared" si="63"/>
        <v>-3.4435425684840759E-2</v>
      </c>
      <c r="D883">
        <f t="shared" si="58"/>
        <v>1.4795333591555755E-2</v>
      </c>
      <c r="E883">
        <f t="shared" si="59"/>
        <v>2.4336158120027426E-2</v>
      </c>
      <c r="F883">
        <f t="shared" si="60"/>
        <v>3.441909284644077E-2</v>
      </c>
      <c r="G883">
        <f t="shared" si="61"/>
        <v>-2.4336158120027426E-2</v>
      </c>
      <c r="H883">
        <f t="shared" si="62"/>
        <v>-3.441909284644077E-2</v>
      </c>
    </row>
    <row r="884" spans="1:8" x14ac:dyDescent="0.2">
      <c r="A884" s="1">
        <v>45692</v>
      </c>
      <c r="B884">
        <v>231.53399999999999</v>
      </c>
      <c r="C884">
        <f t="shared" si="63"/>
        <v>2.0781623550686325E-2</v>
      </c>
      <c r="D884">
        <f t="shared" si="58"/>
        <v>1.4838295967496635E-2</v>
      </c>
      <c r="E884">
        <f t="shared" si="59"/>
        <v>2.4406824939916232E-2</v>
      </c>
      <c r="F884">
        <f t="shared" si="60"/>
        <v>3.4519038278374575E-2</v>
      </c>
      <c r="G884">
        <f t="shared" si="61"/>
        <v>-2.4406824939916232E-2</v>
      </c>
      <c r="H884">
        <f t="shared" si="62"/>
        <v>-3.4519038278374575E-2</v>
      </c>
    </row>
    <row r="885" spans="1:8" x14ac:dyDescent="0.2">
      <c r="A885" s="1">
        <v>45693</v>
      </c>
      <c r="B885">
        <v>231.208</v>
      </c>
      <c r="C885">
        <f t="shared" si="63"/>
        <v>-1.4089927170340957E-3</v>
      </c>
      <c r="D885">
        <f t="shared" si="58"/>
        <v>1.4830902229033884E-2</v>
      </c>
      <c r="E885">
        <f t="shared" si="59"/>
        <v>2.4394663322389046E-2</v>
      </c>
      <c r="F885">
        <f t="shared" si="60"/>
        <v>3.4501837870620541E-2</v>
      </c>
      <c r="G885">
        <f t="shared" si="61"/>
        <v>-2.4394663322389046E-2</v>
      </c>
      <c r="H885">
        <f t="shared" si="62"/>
        <v>-3.4501837870620541E-2</v>
      </c>
    </row>
    <row r="886" spans="1:8" x14ac:dyDescent="0.2">
      <c r="A886" s="1">
        <v>45694</v>
      </c>
      <c r="B886">
        <v>231.953</v>
      </c>
      <c r="C886">
        <f t="shared" si="63"/>
        <v>3.21702666034707E-3</v>
      </c>
      <c r="D886">
        <f t="shared" si="58"/>
        <v>1.4831653534142957E-2</v>
      </c>
      <c r="E886">
        <f t="shared" si="59"/>
        <v>2.4395899109322654E-2</v>
      </c>
      <c r="F886">
        <f t="shared" si="60"/>
        <v>3.4503585667663789E-2</v>
      </c>
      <c r="G886">
        <f t="shared" si="61"/>
        <v>-2.4395899109322654E-2</v>
      </c>
      <c r="H886">
        <f t="shared" si="62"/>
        <v>-3.4503585667663789E-2</v>
      </c>
    </row>
    <row r="887" spans="1:8" x14ac:dyDescent="0.2">
      <c r="A887" s="1">
        <v>45695</v>
      </c>
      <c r="B887">
        <v>226.393</v>
      </c>
      <c r="C887">
        <f t="shared" si="63"/>
        <v>-2.4262337812937015E-2</v>
      </c>
      <c r="D887">
        <f t="shared" si="58"/>
        <v>1.4910699434896899E-2</v>
      </c>
      <c r="E887">
        <f t="shared" si="59"/>
        <v>2.452591804587342E-2</v>
      </c>
      <c r="F887">
        <f t="shared" si="60"/>
        <v>3.4687473930834364E-2</v>
      </c>
      <c r="G887">
        <f t="shared" si="61"/>
        <v>-2.452591804587342E-2</v>
      </c>
      <c r="H887">
        <f t="shared" si="62"/>
        <v>-3.4687473930834364E-2</v>
      </c>
    </row>
    <row r="888" spans="1:8" x14ac:dyDescent="0.2">
      <c r="A888" s="1">
        <v>45698</v>
      </c>
      <c r="B888">
        <v>226.66200000000001</v>
      </c>
      <c r="C888">
        <f t="shared" si="63"/>
        <v>1.1874939316890148E-3</v>
      </c>
      <c r="D888">
        <f t="shared" si="58"/>
        <v>1.4909248985700256E-2</v>
      </c>
      <c r="E888">
        <f t="shared" si="59"/>
        <v>2.4523532269251615E-2</v>
      </c>
      <c r="F888">
        <f t="shared" si="60"/>
        <v>3.4684099681429353E-2</v>
      </c>
      <c r="G888">
        <f t="shared" si="61"/>
        <v>-2.4523532269251615E-2</v>
      </c>
      <c r="H888">
        <f t="shared" si="62"/>
        <v>-3.4684099681429353E-2</v>
      </c>
    </row>
    <row r="889" spans="1:8" x14ac:dyDescent="0.2">
      <c r="A889" s="1">
        <v>45699</v>
      </c>
      <c r="B889">
        <v>231.61</v>
      </c>
      <c r="C889">
        <f t="shared" si="63"/>
        <v>2.1595001604812671E-2</v>
      </c>
      <c r="D889">
        <f t="shared" si="58"/>
        <v>1.4954157223589419E-2</v>
      </c>
      <c r="E889">
        <f t="shared" si="59"/>
        <v>2.4597399747223601E-2</v>
      </c>
      <c r="F889">
        <f t="shared" si="60"/>
        <v>3.4788571865169725E-2</v>
      </c>
      <c r="G889">
        <f t="shared" si="61"/>
        <v>-2.4597399747223601E-2</v>
      </c>
      <c r="H889">
        <f t="shared" si="62"/>
        <v>-3.4788571865169725E-2</v>
      </c>
    </row>
    <row r="890" spans="1:8" x14ac:dyDescent="0.2">
      <c r="A890" s="1">
        <v>45700</v>
      </c>
      <c r="B890">
        <v>235.84200000000001</v>
      </c>
      <c r="C890">
        <f t="shared" si="63"/>
        <v>1.810716663103799E-2</v>
      </c>
      <c r="D890">
        <f t="shared" si="58"/>
        <v>1.497339499721788E-2</v>
      </c>
      <c r="E890">
        <f t="shared" si="59"/>
        <v>2.4629043068950848E-2</v>
      </c>
      <c r="F890">
        <f t="shared" si="60"/>
        <v>3.4833325618951576E-2</v>
      </c>
      <c r="G890">
        <f t="shared" si="61"/>
        <v>-2.4629043068950848E-2</v>
      </c>
      <c r="H890">
        <f t="shared" si="62"/>
        <v>-3.4833325618951576E-2</v>
      </c>
    </row>
    <row r="891" spans="1:8" x14ac:dyDescent="0.2">
      <c r="A891" s="1">
        <v>45701</v>
      </c>
      <c r="B891">
        <v>240.483</v>
      </c>
      <c r="C891">
        <f t="shared" si="63"/>
        <v>1.948731168609313E-2</v>
      </c>
      <c r="D891">
        <f t="shared" si="58"/>
        <v>1.5014269163717375E-2</v>
      </c>
      <c r="E891">
        <f t="shared" si="59"/>
        <v>2.469627508996616E-2</v>
      </c>
      <c r="F891">
        <f t="shared" si="60"/>
        <v>3.492841314929087E-2</v>
      </c>
      <c r="G891">
        <f t="shared" si="61"/>
        <v>-2.469627508996616E-2</v>
      </c>
      <c r="H891">
        <f t="shared" si="62"/>
        <v>-3.492841314929087E-2</v>
      </c>
    </row>
    <row r="892" spans="1:8" x14ac:dyDescent="0.2">
      <c r="A892" s="1">
        <v>45702</v>
      </c>
      <c r="B892">
        <v>243.53899999999999</v>
      </c>
      <c r="C892">
        <f t="shared" si="63"/>
        <v>1.2627692992012303E-2</v>
      </c>
      <c r="D892">
        <f t="shared" si="58"/>
        <v>1.5030957704144804E-2</v>
      </c>
      <c r="E892">
        <f t="shared" si="59"/>
        <v>2.4723725296216744E-2</v>
      </c>
      <c r="F892">
        <f t="shared" si="60"/>
        <v>3.4967236499835061E-2</v>
      </c>
      <c r="G892">
        <f t="shared" si="61"/>
        <v>-2.4723725296216744E-2</v>
      </c>
      <c r="H892">
        <f t="shared" si="62"/>
        <v>-3.4967236499835061E-2</v>
      </c>
    </row>
    <row r="893" spans="1:8" x14ac:dyDescent="0.2">
      <c r="A893" s="1">
        <v>45706</v>
      </c>
      <c r="B893">
        <v>243.40899999999999</v>
      </c>
      <c r="C893">
        <f t="shared" si="63"/>
        <v>-5.339379280271065E-4</v>
      </c>
      <c r="D893">
        <f t="shared" ref="D893:D956" si="64">_xlfn.STDEV.S(C644:C893)</f>
        <v>1.5018922672101288E-2</v>
      </c>
      <c r="E893">
        <f t="shared" ref="E893:E956" si="65">_xlfn.NORM.S.INV(0.95)*D893</f>
        <v>2.4703929430109489E-2</v>
      </c>
      <c r="F893">
        <f t="shared" ref="F893:F956" si="66">_xlfn.NORM.S.INV(0.99)*D893</f>
        <v>3.4939238828626616E-2</v>
      </c>
      <c r="G893">
        <f t="shared" ref="G893:G956" si="67">-E893</f>
        <v>-2.4703929430109489E-2</v>
      </c>
      <c r="H893">
        <f t="shared" ref="H893:H956" si="68">-F893</f>
        <v>-3.4939238828626616E-2</v>
      </c>
    </row>
    <row r="894" spans="1:8" x14ac:dyDescent="0.2">
      <c r="A894" s="1">
        <v>45707</v>
      </c>
      <c r="B894">
        <v>243.80699999999999</v>
      </c>
      <c r="C894">
        <f t="shared" si="63"/>
        <v>1.6337726533154325E-3</v>
      </c>
      <c r="D894">
        <f t="shared" si="64"/>
        <v>1.5015139983758641E-2</v>
      </c>
      <c r="E894">
        <f t="shared" si="65"/>
        <v>2.4697707461469459E-2</v>
      </c>
      <c r="F894">
        <f t="shared" si="66"/>
        <v>3.4930438979642535E-2</v>
      </c>
      <c r="G894">
        <f t="shared" si="67"/>
        <v>-2.4697707461469459E-2</v>
      </c>
      <c r="H894">
        <f t="shared" si="68"/>
        <v>-3.4930438979642535E-2</v>
      </c>
    </row>
    <row r="895" spans="1:8" x14ac:dyDescent="0.2">
      <c r="A895" s="1">
        <v>45708</v>
      </c>
      <c r="B895">
        <v>244.76400000000001</v>
      </c>
      <c r="C895">
        <f t="shared" si="63"/>
        <v>3.9175523063801074E-3</v>
      </c>
      <c r="D895">
        <f t="shared" si="64"/>
        <v>1.5014935094026708E-2</v>
      </c>
      <c r="E895">
        <f t="shared" si="65"/>
        <v>2.4697370447850767E-2</v>
      </c>
      <c r="F895">
        <f t="shared" si="66"/>
        <v>3.4929962334850247E-2</v>
      </c>
      <c r="G895">
        <f t="shared" si="67"/>
        <v>-2.4697370447850767E-2</v>
      </c>
      <c r="H895">
        <f t="shared" si="68"/>
        <v>-3.4929962334850247E-2</v>
      </c>
    </row>
    <row r="896" spans="1:8" x14ac:dyDescent="0.2">
      <c r="A896" s="1">
        <v>45709</v>
      </c>
      <c r="B896">
        <v>244.48400000000001</v>
      </c>
      <c r="C896">
        <f t="shared" si="63"/>
        <v>-1.1446138995762781E-3</v>
      </c>
      <c r="D896">
        <f t="shared" si="64"/>
        <v>1.5002315182270656E-2</v>
      </c>
      <c r="E896">
        <f t="shared" si="65"/>
        <v>2.4676612540227013E-2</v>
      </c>
      <c r="F896">
        <f t="shared" si="66"/>
        <v>3.4900604029965969E-2</v>
      </c>
      <c r="G896">
        <f t="shared" si="67"/>
        <v>-2.4676612540227013E-2</v>
      </c>
      <c r="H896">
        <f t="shared" si="68"/>
        <v>-3.4900604029965969E-2</v>
      </c>
    </row>
    <row r="897" spans="1:8" x14ac:dyDescent="0.2">
      <c r="A897" s="1">
        <v>45712</v>
      </c>
      <c r="B897">
        <v>246.09899999999999</v>
      </c>
      <c r="C897">
        <f t="shared" si="63"/>
        <v>6.5840268990318496E-3</v>
      </c>
      <c r="D897">
        <f t="shared" si="64"/>
        <v>1.4989139698663913E-2</v>
      </c>
      <c r="E897">
        <f t="shared" si="65"/>
        <v>2.4654940798229625E-2</v>
      </c>
      <c r="F897">
        <f t="shared" si="66"/>
        <v>3.4869953271687966E-2</v>
      </c>
      <c r="G897">
        <f t="shared" si="67"/>
        <v>-2.4654940798229625E-2</v>
      </c>
      <c r="H897">
        <f t="shared" si="68"/>
        <v>-3.4869953271687966E-2</v>
      </c>
    </row>
    <row r="898" spans="1:8" x14ac:dyDescent="0.2">
      <c r="A898" s="1">
        <v>45713</v>
      </c>
      <c r="B898">
        <v>245.96700000000001</v>
      </c>
      <c r="C898">
        <f t="shared" si="63"/>
        <v>-5.3651340741395876E-4</v>
      </c>
      <c r="D898">
        <f t="shared" si="64"/>
        <v>1.4979386821516401E-2</v>
      </c>
      <c r="E898">
        <f t="shared" si="65"/>
        <v>2.4638898742880326E-2</v>
      </c>
      <c r="F898">
        <f t="shared" si="66"/>
        <v>3.4847264686670064E-2</v>
      </c>
      <c r="G898">
        <f t="shared" si="67"/>
        <v>-2.4638898742880326E-2</v>
      </c>
      <c r="H898">
        <f t="shared" si="68"/>
        <v>-3.4847264686670064E-2</v>
      </c>
    </row>
    <row r="899" spans="1:8" x14ac:dyDescent="0.2">
      <c r="A899" s="1">
        <v>45714</v>
      </c>
      <c r="B899">
        <v>239.31700000000001</v>
      </c>
      <c r="C899">
        <f t="shared" ref="C899:C962" si="69">LN(B899/B898)</f>
        <v>-2.7408347666512463E-2</v>
      </c>
      <c r="D899">
        <f t="shared" si="64"/>
        <v>1.5082297392778067E-2</v>
      </c>
      <c r="E899">
        <f t="shared" si="65"/>
        <v>2.4808171569271727E-2</v>
      </c>
      <c r="F899">
        <f t="shared" si="66"/>
        <v>3.5086670475340968E-2</v>
      </c>
      <c r="G899">
        <f t="shared" si="67"/>
        <v>-2.4808171569271727E-2</v>
      </c>
      <c r="H899">
        <f t="shared" si="68"/>
        <v>-3.5086670475340968E-2</v>
      </c>
    </row>
    <row r="900" spans="1:8" x14ac:dyDescent="0.2">
      <c r="A900" s="1">
        <v>45715</v>
      </c>
      <c r="B900">
        <v>236.27</v>
      </c>
      <c r="C900">
        <f t="shared" si="69"/>
        <v>-1.2813814050577691E-2</v>
      </c>
      <c r="D900">
        <f t="shared" si="64"/>
        <v>1.5100091346921427E-2</v>
      </c>
      <c r="E900">
        <f t="shared" si="65"/>
        <v>2.4837440019282241E-2</v>
      </c>
      <c r="F900">
        <f t="shared" si="66"/>
        <v>3.5128065402733159E-2</v>
      </c>
      <c r="G900">
        <f t="shared" si="67"/>
        <v>-2.4837440019282241E-2</v>
      </c>
      <c r="H900">
        <f t="shared" si="68"/>
        <v>-3.5128065402733159E-2</v>
      </c>
    </row>
    <row r="901" spans="1:8" x14ac:dyDescent="0.2">
      <c r="A901" s="1">
        <v>45716</v>
      </c>
      <c r="B901">
        <v>240.79</v>
      </c>
      <c r="C901">
        <f t="shared" si="69"/>
        <v>1.8949965457757945E-2</v>
      </c>
      <c r="D901">
        <f t="shared" si="64"/>
        <v>1.5139095986392242E-2</v>
      </c>
      <c r="E901">
        <f t="shared" si="65"/>
        <v>2.4901596941983746E-2</v>
      </c>
      <c r="F901">
        <f t="shared" si="66"/>
        <v>3.5218803762843816E-2</v>
      </c>
      <c r="G901">
        <f t="shared" si="67"/>
        <v>-2.4901596941983746E-2</v>
      </c>
      <c r="H901">
        <f t="shared" si="68"/>
        <v>-3.5218803762843816E-2</v>
      </c>
    </row>
    <row r="902" spans="1:8" x14ac:dyDescent="0.2">
      <c r="A902" s="1">
        <v>45719</v>
      </c>
      <c r="B902">
        <v>236.99700000000001</v>
      </c>
      <c r="C902">
        <f t="shared" si="69"/>
        <v>-1.5877701505974975E-2</v>
      </c>
      <c r="D902">
        <f t="shared" si="64"/>
        <v>1.5170706411288646E-2</v>
      </c>
      <c r="E902">
        <f t="shared" si="65"/>
        <v>2.4953591464024073E-2</v>
      </c>
      <c r="F902">
        <f t="shared" si="66"/>
        <v>3.5292340607599094E-2</v>
      </c>
      <c r="G902">
        <f t="shared" si="67"/>
        <v>-2.4953591464024073E-2</v>
      </c>
      <c r="H902">
        <f t="shared" si="68"/>
        <v>-3.5292340607599094E-2</v>
      </c>
    </row>
    <row r="903" spans="1:8" x14ac:dyDescent="0.2">
      <c r="A903" s="1">
        <v>45720</v>
      </c>
      <c r="B903">
        <v>234.90600000000001</v>
      </c>
      <c r="C903">
        <f t="shared" si="69"/>
        <v>-8.8620487043478309E-3</v>
      </c>
      <c r="D903">
        <f t="shared" si="64"/>
        <v>1.5088175497619101E-2</v>
      </c>
      <c r="E903">
        <f t="shared" si="65"/>
        <v>2.4817840191339102E-2</v>
      </c>
      <c r="F903">
        <f t="shared" si="66"/>
        <v>3.5100344992041302E-2</v>
      </c>
      <c r="G903">
        <f t="shared" si="67"/>
        <v>-2.4817840191339102E-2</v>
      </c>
      <c r="H903">
        <f t="shared" si="68"/>
        <v>-3.5100344992041302E-2</v>
      </c>
    </row>
    <row r="904" spans="1:8" x14ac:dyDescent="0.2">
      <c r="A904" s="1">
        <v>45721</v>
      </c>
      <c r="B904">
        <v>234.71600000000001</v>
      </c>
      <c r="C904">
        <f t="shared" si="69"/>
        <v>-8.0916145481578256E-4</v>
      </c>
      <c r="D904">
        <f t="shared" si="64"/>
        <v>1.4967480611650225E-2</v>
      </c>
      <c r="E904">
        <f t="shared" si="65"/>
        <v>2.4619314770398703E-2</v>
      </c>
      <c r="F904">
        <f t="shared" si="66"/>
        <v>3.4819566700660005E-2</v>
      </c>
      <c r="G904">
        <f t="shared" si="67"/>
        <v>-2.4619314770398703E-2</v>
      </c>
      <c r="H904">
        <f t="shared" si="68"/>
        <v>-3.4819566700660005E-2</v>
      </c>
    </row>
    <row r="905" spans="1:8" x14ac:dyDescent="0.2">
      <c r="A905" s="1">
        <v>45722</v>
      </c>
      <c r="B905">
        <v>234.31</v>
      </c>
      <c r="C905">
        <f t="shared" si="69"/>
        <v>-1.7312477406621922E-3</v>
      </c>
      <c r="D905">
        <f t="shared" si="64"/>
        <v>1.4961729978864295E-2</v>
      </c>
      <c r="E905">
        <f t="shared" si="65"/>
        <v>2.4609855821203501E-2</v>
      </c>
      <c r="F905">
        <f t="shared" si="66"/>
        <v>3.4806188728304065E-2</v>
      </c>
      <c r="G905">
        <f t="shared" si="67"/>
        <v>-2.4609855821203501E-2</v>
      </c>
      <c r="H905">
        <f t="shared" si="68"/>
        <v>-3.4806188728304065E-2</v>
      </c>
    </row>
    <row r="906" spans="1:8" x14ac:dyDescent="0.2">
      <c r="A906" s="1">
        <v>45723</v>
      </c>
      <c r="B906">
        <v>238.03200000000001</v>
      </c>
      <c r="C906">
        <f t="shared" si="69"/>
        <v>1.5760093487546454E-2</v>
      </c>
      <c r="D906">
        <f t="shared" si="64"/>
        <v>1.4988901574806765E-2</v>
      </c>
      <c r="E906">
        <f t="shared" si="65"/>
        <v>2.4654549119339533E-2</v>
      </c>
      <c r="F906">
        <f t="shared" si="66"/>
        <v>3.4869399312759126E-2</v>
      </c>
      <c r="G906">
        <f t="shared" si="67"/>
        <v>-2.4654549119339533E-2</v>
      </c>
      <c r="H906">
        <f t="shared" si="68"/>
        <v>-3.4869399312759126E-2</v>
      </c>
    </row>
    <row r="907" spans="1:8" x14ac:dyDescent="0.2">
      <c r="A907" s="1">
        <v>45726</v>
      </c>
      <c r="B907">
        <v>226.49199999999999</v>
      </c>
      <c r="C907">
        <f t="shared" si="69"/>
        <v>-4.9695494203868359E-2</v>
      </c>
      <c r="D907">
        <f t="shared" si="64"/>
        <v>1.5322772000841445E-2</v>
      </c>
      <c r="E907">
        <f t="shared" si="65"/>
        <v>2.5203717100534508E-2</v>
      </c>
      <c r="F907">
        <f t="shared" si="66"/>
        <v>3.5646098068570019E-2</v>
      </c>
      <c r="G907">
        <f t="shared" si="67"/>
        <v>-2.5203717100534508E-2</v>
      </c>
      <c r="H907">
        <f t="shared" si="68"/>
        <v>-3.5646098068570019E-2</v>
      </c>
    </row>
    <row r="908" spans="1:8" x14ac:dyDescent="0.2">
      <c r="A908" s="1">
        <v>45727</v>
      </c>
      <c r="B908">
        <v>219.88200000000001</v>
      </c>
      <c r="C908">
        <f t="shared" si="69"/>
        <v>-2.9618585389452144E-2</v>
      </c>
      <c r="D908">
        <f t="shared" si="64"/>
        <v>1.5430976746051038E-2</v>
      </c>
      <c r="E908">
        <f t="shared" si="65"/>
        <v>2.5381698068145865E-2</v>
      </c>
      <c r="F908">
        <f t="shared" si="66"/>
        <v>3.5897819947549481E-2</v>
      </c>
      <c r="G908">
        <f t="shared" si="67"/>
        <v>-2.5381698068145865E-2</v>
      </c>
      <c r="H908">
        <f t="shared" si="68"/>
        <v>-3.5897819947549481E-2</v>
      </c>
    </row>
    <row r="909" spans="1:8" x14ac:dyDescent="0.2">
      <c r="A909" s="1">
        <v>45728</v>
      </c>
      <c r="B909">
        <v>216.03800000000001</v>
      </c>
      <c r="C909">
        <f t="shared" si="69"/>
        <v>-1.763672068462729E-2</v>
      </c>
      <c r="D909">
        <f t="shared" si="64"/>
        <v>1.5475497335018124E-2</v>
      </c>
      <c r="E909">
        <f t="shared" si="65"/>
        <v>2.5454927920382394E-2</v>
      </c>
      <c r="F909">
        <f t="shared" si="66"/>
        <v>3.6001390325044111E-2</v>
      </c>
      <c r="G909">
        <f t="shared" si="67"/>
        <v>-2.5454927920382394E-2</v>
      </c>
      <c r="H909">
        <f t="shared" si="68"/>
        <v>-3.6001390325044111E-2</v>
      </c>
    </row>
    <row r="910" spans="1:8" x14ac:dyDescent="0.2">
      <c r="A910" s="1">
        <v>45729</v>
      </c>
      <c r="B910">
        <v>208.77</v>
      </c>
      <c r="C910">
        <f t="shared" si="69"/>
        <v>-3.4221150612071587E-2</v>
      </c>
      <c r="D910">
        <f t="shared" si="64"/>
        <v>1.5612548401388733E-2</v>
      </c>
      <c r="E910">
        <f t="shared" si="65"/>
        <v>2.5680356863979657E-2</v>
      </c>
      <c r="F910">
        <f t="shared" si="66"/>
        <v>3.6320218781930404E-2</v>
      </c>
      <c r="G910">
        <f t="shared" si="67"/>
        <v>-2.5680356863979657E-2</v>
      </c>
      <c r="H910">
        <f t="shared" si="68"/>
        <v>-3.6320218781930404E-2</v>
      </c>
    </row>
    <row r="911" spans="1:8" x14ac:dyDescent="0.2">
      <c r="A911" s="1">
        <v>45730</v>
      </c>
      <c r="B911">
        <v>212.56299999999999</v>
      </c>
      <c r="C911">
        <f t="shared" si="69"/>
        <v>1.8005247489117603E-2</v>
      </c>
      <c r="D911">
        <f t="shared" si="64"/>
        <v>1.5637451917400732E-2</v>
      </c>
      <c r="E911">
        <f t="shared" si="65"/>
        <v>2.5721319502615837E-2</v>
      </c>
      <c r="F911">
        <f t="shared" si="66"/>
        <v>3.6378153023461063E-2</v>
      </c>
      <c r="G911">
        <f t="shared" si="67"/>
        <v>-2.5721319502615837E-2</v>
      </c>
      <c r="H911">
        <f t="shared" si="68"/>
        <v>-3.6378153023461063E-2</v>
      </c>
    </row>
    <row r="912" spans="1:8" x14ac:dyDescent="0.2">
      <c r="A912" s="1">
        <v>45733</v>
      </c>
      <c r="B912">
        <v>213.072</v>
      </c>
      <c r="C912">
        <f t="shared" si="69"/>
        <v>2.3917217458031053E-3</v>
      </c>
      <c r="D912">
        <f t="shared" si="64"/>
        <v>1.5636538777202887E-2</v>
      </c>
      <c r="E912">
        <f t="shared" si="65"/>
        <v>2.5719817520649498E-2</v>
      </c>
      <c r="F912">
        <f t="shared" si="66"/>
        <v>3.6376028741703106E-2</v>
      </c>
      <c r="G912">
        <f t="shared" si="67"/>
        <v>-2.5719817520649498E-2</v>
      </c>
      <c r="H912">
        <f t="shared" si="68"/>
        <v>-3.6376028741703106E-2</v>
      </c>
    </row>
    <row r="913" spans="1:8" x14ac:dyDescent="0.2">
      <c r="A913" s="1">
        <v>45734</v>
      </c>
      <c r="B913">
        <v>211.767</v>
      </c>
      <c r="C913">
        <f t="shared" si="69"/>
        <v>-6.1435230971506752E-3</v>
      </c>
      <c r="D913">
        <f t="shared" si="64"/>
        <v>1.5638935078308765E-2</v>
      </c>
      <c r="E913">
        <f t="shared" si="65"/>
        <v>2.5723759085214768E-2</v>
      </c>
      <c r="F913">
        <f t="shared" si="66"/>
        <v>3.6381603371686326E-2</v>
      </c>
      <c r="G913">
        <f t="shared" si="67"/>
        <v>-2.5723759085214768E-2</v>
      </c>
      <c r="H913">
        <f t="shared" si="68"/>
        <v>-3.6381603371686326E-2</v>
      </c>
    </row>
    <row r="914" spans="1:8" x14ac:dyDescent="0.2">
      <c r="A914" s="1">
        <v>45735</v>
      </c>
      <c r="B914">
        <v>214.30500000000001</v>
      </c>
      <c r="C914">
        <f t="shared" si="69"/>
        <v>1.1913620322592765E-2</v>
      </c>
      <c r="D914">
        <f t="shared" si="64"/>
        <v>1.5634128272893053E-2</v>
      </c>
      <c r="E914">
        <f t="shared" si="65"/>
        <v>2.5715852593892682E-2</v>
      </c>
      <c r="F914">
        <f t="shared" si="66"/>
        <v>3.6370421070126557E-2</v>
      </c>
      <c r="G914">
        <f t="shared" si="67"/>
        <v>-2.5715852593892682E-2</v>
      </c>
      <c r="H914">
        <f t="shared" si="68"/>
        <v>-3.6370421070126557E-2</v>
      </c>
    </row>
    <row r="915" spans="1:8" x14ac:dyDescent="0.2">
      <c r="A915" s="1">
        <v>45736</v>
      </c>
      <c r="B915">
        <v>213.172</v>
      </c>
      <c r="C915">
        <f t="shared" si="69"/>
        <v>-5.3008824009063314E-3</v>
      </c>
      <c r="D915">
        <f t="shared" si="64"/>
        <v>1.5614351323679995E-2</v>
      </c>
      <c r="E915">
        <f t="shared" si="65"/>
        <v>2.5683322407249548E-2</v>
      </c>
      <c r="F915">
        <f t="shared" si="66"/>
        <v>3.6324413006369745E-2</v>
      </c>
      <c r="G915">
        <f t="shared" si="67"/>
        <v>-2.5683322407249548E-2</v>
      </c>
      <c r="H915">
        <f t="shared" si="68"/>
        <v>-3.6324413006369745E-2</v>
      </c>
    </row>
    <row r="916" spans="1:8" x14ac:dyDescent="0.2">
      <c r="A916" s="1">
        <v>45737</v>
      </c>
      <c r="B916">
        <v>217.32300000000001</v>
      </c>
      <c r="C916">
        <f t="shared" si="69"/>
        <v>1.9285374531601077E-2</v>
      </c>
      <c r="D916">
        <f t="shared" si="64"/>
        <v>1.5423671484496467E-2</v>
      </c>
      <c r="E916">
        <f t="shared" si="65"/>
        <v>2.5369681982182E-2</v>
      </c>
      <c r="F916">
        <f t="shared" si="66"/>
        <v>3.5880825367862697E-2</v>
      </c>
      <c r="G916">
        <f t="shared" si="67"/>
        <v>-2.5369681982182E-2</v>
      </c>
      <c r="H916">
        <f t="shared" si="68"/>
        <v>-3.5880825367862697E-2</v>
      </c>
    </row>
    <row r="917" spans="1:8" x14ac:dyDescent="0.2">
      <c r="A917" s="1">
        <v>45740</v>
      </c>
      <c r="B917">
        <v>219.77199999999999</v>
      </c>
      <c r="C917">
        <f t="shared" si="69"/>
        <v>1.1205919203954537E-2</v>
      </c>
      <c r="D917">
        <f t="shared" si="64"/>
        <v>1.5434833195099504E-2</v>
      </c>
      <c r="E917">
        <f t="shared" si="65"/>
        <v>2.5388041362350389E-2</v>
      </c>
      <c r="F917">
        <f t="shared" si="66"/>
        <v>3.5906791389594732E-2</v>
      </c>
      <c r="G917">
        <f t="shared" si="67"/>
        <v>-2.5388041362350389E-2</v>
      </c>
      <c r="H917">
        <f t="shared" si="68"/>
        <v>-3.5906791389594732E-2</v>
      </c>
    </row>
    <row r="918" spans="1:8" x14ac:dyDescent="0.2">
      <c r="A918" s="1">
        <v>45741</v>
      </c>
      <c r="B918">
        <v>222.78</v>
      </c>
      <c r="C918">
        <f t="shared" si="69"/>
        <v>1.3594092097163191E-2</v>
      </c>
      <c r="D918">
        <f t="shared" si="64"/>
        <v>1.5443850462991964E-2</v>
      </c>
      <c r="E918">
        <f t="shared" si="65"/>
        <v>2.5402873448148497E-2</v>
      </c>
      <c r="F918">
        <f t="shared" si="66"/>
        <v>3.5927768691586009E-2</v>
      </c>
      <c r="G918">
        <f t="shared" si="67"/>
        <v>-2.5402873448148497E-2</v>
      </c>
      <c r="H918">
        <f t="shared" si="68"/>
        <v>-3.5927768691586009E-2</v>
      </c>
    </row>
    <row r="919" spans="1:8" x14ac:dyDescent="0.2">
      <c r="A919" s="1">
        <v>45742</v>
      </c>
      <c r="B919">
        <v>220.56899999999999</v>
      </c>
      <c r="C919">
        <f t="shared" si="69"/>
        <v>-9.9741663109444052E-3</v>
      </c>
      <c r="D919">
        <f t="shared" si="64"/>
        <v>1.5451882938299572E-2</v>
      </c>
      <c r="E919">
        <f t="shared" si="65"/>
        <v>2.5416085694291612E-2</v>
      </c>
      <c r="F919">
        <f t="shared" si="66"/>
        <v>3.5946455023441147E-2</v>
      </c>
      <c r="G919">
        <f t="shared" si="67"/>
        <v>-2.5416085694291612E-2</v>
      </c>
      <c r="H919">
        <f t="shared" si="68"/>
        <v>-3.5946455023441147E-2</v>
      </c>
    </row>
    <row r="920" spans="1:8" x14ac:dyDescent="0.2">
      <c r="A920" s="1">
        <v>45743</v>
      </c>
      <c r="B920">
        <v>222.87899999999999</v>
      </c>
      <c r="C920">
        <f t="shared" si="69"/>
        <v>1.0418452196019974E-2</v>
      </c>
      <c r="D920">
        <f t="shared" si="64"/>
        <v>1.541164592449433E-2</v>
      </c>
      <c r="E920">
        <f t="shared" si="65"/>
        <v>2.5349901696196362E-2</v>
      </c>
      <c r="F920">
        <f t="shared" si="66"/>
        <v>3.5852849731917574E-2</v>
      </c>
      <c r="G920">
        <f t="shared" si="67"/>
        <v>-2.5349901696196362E-2</v>
      </c>
      <c r="H920">
        <f t="shared" si="68"/>
        <v>-3.5852849731917574E-2</v>
      </c>
    </row>
    <row r="921" spans="1:8" x14ac:dyDescent="0.2">
      <c r="A921" s="1">
        <v>45744</v>
      </c>
      <c r="B921">
        <v>216.95400000000001</v>
      </c>
      <c r="C921">
        <f t="shared" si="69"/>
        <v>-2.6943673799748047E-2</v>
      </c>
      <c r="D921">
        <f t="shared" si="64"/>
        <v>1.5495628279404327E-2</v>
      </c>
      <c r="E921">
        <f t="shared" si="65"/>
        <v>2.5488040377269996E-2</v>
      </c>
      <c r="F921">
        <f t="shared" si="66"/>
        <v>3.6048221904719388E-2</v>
      </c>
      <c r="G921">
        <f t="shared" si="67"/>
        <v>-2.5488040377269996E-2</v>
      </c>
      <c r="H921">
        <f t="shared" si="68"/>
        <v>-3.6048221904719388E-2</v>
      </c>
    </row>
    <row r="922" spans="1:8" x14ac:dyDescent="0.2">
      <c r="A922" s="1">
        <v>45747</v>
      </c>
      <c r="B922">
        <v>221.166</v>
      </c>
      <c r="C922">
        <f t="shared" si="69"/>
        <v>1.9228201279227683E-2</v>
      </c>
      <c r="D922">
        <f t="shared" si="64"/>
        <v>1.5526759198318973E-2</v>
      </c>
      <c r="E922">
        <f t="shared" si="65"/>
        <v>2.5539246182157086E-2</v>
      </c>
      <c r="F922">
        <f t="shared" si="66"/>
        <v>3.6120643251753411E-2</v>
      </c>
      <c r="G922">
        <f t="shared" si="67"/>
        <v>-2.5539246182157086E-2</v>
      </c>
      <c r="H922">
        <f t="shared" si="68"/>
        <v>-3.6120643251753411E-2</v>
      </c>
    </row>
    <row r="923" spans="1:8" x14ac:dyDescent="0.2">
      <c r="A923" s="1">
        <v>45748</v>
      </c>
      <c r="B923">
        <v>222.221</v>
      </c>
      <c r="C923">
        <f t="shared" si="69"/>
        <v>4.7588314091391391E-3</v>
      </c>
      <c r="D923">
        <f t="shared" si="64"/>
        <v>1.5519910417365428E-2</v>
      </c>
      <c r="E923">
        <f t="shared" si="65"/>
        <v>2.5527980939965451E-2</v>
      </c>
      <c r="F923">
        <f t="shared" si="66"/>
        <v>3.6104710604742359E-2</v>
      </c>
      <c r="G923">
        <f t="shared" si="67"/>
        <v>-2.5527980939965451E-2</v>
      </c>
      <c r="H923">
        <f t="shared" si="68"/>
        <v>-3.6104710604742359E-2</v>
      </c>
    </row>
    <row r="924" spans="1:8" x14ac:dyDescent="0.2">
      <c r="A924" s="1">
        <v>45749</v>
      </c>
      <c r="B924">
        <v>222.91900000000001</v>
      </c>
      <c r="C924">
        <f t="shared" si="69"/>
        <v>3.1360945863066199E-3</v>
      </c>
      <c r="D924">
        <f t="shared" si="64"/>
        <v>1.5518700755767584E-2</v>
      </c>
      <c r="E924">
        <f t="shared" si="65"/>
        <v>2.5525991223698852E-2</v>
      </c>
      <c r="F924">
        <f t="shared" si="66"/>
        <v>3.6101896511055907E-2</v>
      </c>
      <c r="G924">
        <f t="shared" si="67"/>
        <v>-2.5525991223698852E-2</v>
      </c>
      <c r="H924">
        <f t="shared" si="68"/>
        <v>-3.6101896511055907E-2</v>
      </c>
    </row>
    <row r="925" spans="1:8" x14ac:dyDescent="0.2">
      <c r="A925" s="1">
        <v>45750</v>
      </c>
      <c r="B925">
        <v>202.309</v>
      </c>
      <c r="C925">
        <f t="shared" si="69"/>
        <v>-9.7012245209334852E-2</v>
      </c>
      <c r="D925">
        <f t="shared" si="64"/>
        <v>1.6710136110531387E-2</v>
      </c>
      <c r="E925">
        <f t="shared" si="65"/>
        <v>2.7485727988260308E-2</v>
      </c>
      <c r="F925">
        <f t="shared" si="66"/>
        <v>3.8873589615667774E-2</v>
      </c>
      <c r="G925">
        <f t="shared" si="67"/>
        <v>-2.7485727988260308E-2</v>
      </c>
      <c r="H925">
        <f t="shared" si="68"/>
        <v>-3.8873589615667774E-2</v>
      </c>
    </row>
    <row r="926" spans="1:8" x14ac:dyDescent="0.2">
      <c r="A926" s="1">
        <v>45751</v>
      </c>
      <c r="B926">
        <v>187.56200000000001</v>
      </c>
      <c r="C926">
        <f t="shared" si="69"/>
        <v>-7.5686774148750954E-2</v>
      </c>
      <c r="D926">
        <f t="shared" si="64"/>
        <v>1.7393673081477972E-2</v>
      </c>
      <c r="E926">
        <f t="shared" si="65"/>
        <v>2.8610046254077221E-2</v>
      </c>
      <c r="F926">
        <f t="shared" si="66"/>
        <v>4.0463734394857682E-2</v>
      </c>
      <c r="G926">
        <f t="shared" si="67"/>
        <v>-2.8610046254077221E-2</v>
      </c>
      <c r="H926">
        <f t="shared" si="68"/>
        <v>-4.0463734394857682E-2</v>
      </c>
    </row>
    <row r="927" spans="1:8" x14ac:dyDescent="0.2">
      <c r="A927" s="1">
        <v>45754</v>
      </c>
      <c r="B927">
        <v>180.673</v>
      </c>
      <c r="C927">
        <f t="shared" si="69"/>
        <v>-3.7420689911293221E-2</v>
      </c>
      <c r="D927">
        <f t="shared" si="64"/>
        <v>1.7552140571778417E-2</v>
      </c>
      <c r="E927">
        <f t="shared" si="65"/>
        <v>2.8870702080251803E-2</v>
      </c>
      <c r="F927">
        <f t="shared" si="66"/>
        <v>4.083238490402271E-2</v>
      </c>
      <c r="G927">
        <f t="shared" si="67"/>
        <v>-2.8870702080251803E-2</v>
      </c>
      <c r="H927">
        <f t="shared" si="68"/>
        <v>-4.083238490402271E-2</v>
      </c>
    </row>
    <row r="928" spans="1:8" x14ac:dyDescent="0.2">
      <c r="A928" s="1">
        <v>45755</v>
      </c>
      <c r="B928">
        <v>171.67099999999999</v>
      </c>
      <c r="C928">
        <f t="shared" si="69"/>
        <v>-5.1108913112184601E-2</v>
      </c>
      <c r="D928">
        <f t="shared" si="64"/>
        <v>1.7845238432246686E-2</v>
      </c>
      <c r="E928">
        <f t="shared" si="65"/>
        <v>2.9352805159094754E-2</v>
      </c>
      <c r="F928">
        <f t="shared" si="66"/>
        <v>4.1514232488608985E-2</v>
      </c>
      <c r="G928">
        <f t="shared" si="67"/>
        <v>-2.9352805159094754E-2</v>
      </c>
      <c r="H928">
        <f t="shared" si="68"/>
        <v>-4.1514232488608985E-2</v>
      </c>
    </row>
    <row r="929" spans="1:8" x14ac:dyDescent="0.2">
      <c r="A929" s="1">
        <v>45756</v>
      </c>
      <c r="B929">
        <v>197.988</v>
      </c>
      <c r="C929">
        <f t="shared" si="69"/>
        <v>0.14262656840182664</v>
      </c>
      <c r="D929">
        <f t="shared" si="64"/>
        <v>1.9979021264832111E-2</v>
      </c>
      <c r="E929">
        <f t="shared" si="65"/>
        <v>3.286256559039967E-2</v>
      </c>
      <c r="F929">
        <f t="shared" si="66"/>
        <v>4.6478153644858931E-2</v>
      </c>
      <c r="G929">
        <f t="shared" si="67"/>
        <v>-3.286256559039967E-2</v>
      </c>
      <c r="H929">
        <f t="shared" si="68"/>
        <v>-4.6478153644858931E-2</v>
      </c>
    </row>
    <row r="930" spans="1:8" x14ac:dyDescent="0.2">
      <c r="A930" s="1">
        <v>45757</v>
      </c>
      <c r="B930">
        <v>189.59399999999999</v>
      </c>
      <c r="C930">
        <f t="shared" si="69"/>
        <v>-4.3321479046738082E-2</v>
      </c>
      <c r="D930">
        <f t="shared" si="64"/>
        <v>1.9996290724951831E-2</v>
      </c>
      <c r="E930">
        <f t="shared" si="65"/>
        <v>3.2890971324513088E-2</v>
      </c>
      <c r="F930">
        <f t="shared" si="66"/>
        <v>4.6518328416694274E-2</v>
      </c>
      <c r="G930">
        <f t="shared" si="67"/>
        <v>-3.2890971324513088E-2</v>
      </c>
      <c r="H930">
        <f t="shared" si="68"/>
        <v>-4.6518328416694274E-2</v>
      </c>
    </row>
    <row r="931" spans="1:8" x14ac:dyDescent="0.2">
      <c r="A931" s="1">
        <v>45758</v>
      </c>
      <c r="B931">
        <v>197.29</v>
      </c>
      <c r="C931">
        <f t="shared" si="69"/>
        <v>3.9789783756308504E-2</v>
      </c>
      <c r="D931">
        <f t="shared" si="64"/>
        <v>2.0144711726480965E-2</v>
      </c>
      <c r="E931">
        <f t="shared" si="65"/>
        <v>3.3135102147194055E-2</v>
      </c>
      <c r="F931">
        <f t="shared" si="66"/>
        <v>4.6863607298064588E-2</v>
      </c>
      <c r="G931">
        <f t="shared" si="67"/>
        <v>-3.3135102147194055E-2</v>
      </c>
      <c r="H931">
        <f t="shared" si="68"/>
        <v>-4.6863607298064588E-2</v>
      </c>
    </row>
    <row r="932" spans="1:8" x14ac:dyDescent="0.2">
      <c r="A932" s="1">
        <v>45761</v>
      </c>
      <c r="B932">
        <v>201.64099999999999</v>
      </c>
      <c r="C932">
        <f t="shared" si="69"/>
        <v>2.1814161028720105E-2</v>
      </c>
      <c r="D932">
        <f t="shared" si="64"/>
        <v>2.0138487269952696E-2</v>
      </c>
      <c r="E932">
        <f t="shared" si="65"/>
        <v>3.3124863827297728E-2</v>
      </c>
      <c r="F932">
        <f t="shared" si="66"/>
        <v>4.6849127046852991E-2</v>
      </c>
      <c r="G932">
        <f t="shared" si="67"/>
        <v>-3.3124863827297728E-2</v>
      </c>
      <c r="H932">
        <f t="shared" si="68"/>
        <v>-4.6849127046852991E-2</v>
      </c>
    </row>
    <row r="933" spans="1:8" x14ac:dyDescent="0.2">
      <c r="A933" s="1">
        <v>45762</v>
      </c>
      <c r="B933">
        <v>201.26300000000001</v>
      </c>
      <c r="C933">
        <f t="shared" si="69"/>
        <v>-1.8763780498828419E-3</v>
      </c>
      <c r="D933">
        <f t="shared" si="64"/>
        <v>2.0099023586892494E-2</v>
      </c>
      <c r="E933">
        <f t="shared" si="65"/>
        <v>3.3059951845083292E-2</v>
      </c>
      <c r="F933">
        <f t="shared" si="66"/>
        <v>4.6757320791664066E-2</v>
      </c>
      <c r="G933">
        <f t="shared" si="67"/>
        <v>-3.3059951845083292E-2</v>
      </c>
      <c r="H933">
        <f t="shared" si="68"/>
        <v>-4.6757320791664066E-2</v>
      </c>
    </row>
    <row r="934" spans="1:8" x14ac:dyDescent="0.2">
      <c r="A934" s="1">
        <v>45763</v>
      </c>
      <c r="B934">
        <v>193.42699999999999</v>
      </c>
      <c r="C934">
        <f t="shared" si="69"/>
        <v>-3.9712330178618291E-2</v>
      </c>
      <c r="D934">
        <f t="shared" si="64"/>
        <v>2.0253476908085061E-2</v>
      </c>
      <c r="E934">
        <f t="shared" si="65"/>
        <v>3.3314004950641588E-2</v>
      </c>
      <c r="F934">
        <f t="shared" si="66"/>
        <v>4.7116632947058944E-2</v>
      </c>
      <c r="G934">
        <f t="shared" si="67"/>
        <v>-3.3314004950641588E-2</v>
      </c>
      <c r="H934">
        <f t="shared" si="68"/>
        <v>-4.7116632947058944E-2</v>
      </c>
    </row>
    <row r="935" spans="1:8" x14ac:dyDescent="0.2">
      <c r="A935" s="1">
        <v>45764</v>
      </c>
      <c r="B935">
        <v>196.125</v>
      </c>
      <c r="C935">
        <f t="shared" si="69"/>
        <v>1.3852030746099754E-2</v>
      </c>
      <c r="D935">
        <f t="shared" si="64"/>
        <v>2.0266761052594517E-2</v>
      </c>
      <c r="E935">
        <f t="shared" si="65"/>
        <v>3.3335855423918911E-2</v>
      </c>
      <c r="F935">
        <f t="shared" si="66"/>
        <v>4.7147536488396966E-2</v>
      </c>
      <c r="G935">
        <f t="shared" si="67"/>
        <v>-3.3335855423918911E-2</v>
      </c>
      <c r="H935">
        <f t="shared" si="68"/>
        <v>-4.7147536488396966E-2</v>
      </c>
    </row>
    <row r="936" spans="1:8" x14ac:dyDescent="0.2">
      <c r="A936" s="1">
        <v>45768</v>
      </c>
      <c r="B936">
        <v>192.321</v>
      </c>
      <c r="C936">
        <f t="shared" si="69"/>
        <v>-1.9586360052650822E-2</v>
      </c>
      <c r="D936">
        <f t="shared" si="64"/>
        <v>2.0289667397913907E-2</v>
      </c>
      <c r="E936">
        <f t="shared" si="65"/>
        <v>3.3373533009097719E-2</v>
      </c>
      <c r="F936">
        <f t="shared" si="66"/>
        <v>4.7200824616132779E-2</v>
      </c>
      <c r="G936">
        <f t="shared" si="67"/>
        <v>-3.3373533009097719E-2</v>
      </c>
      <c r="H936">
        <f t="shared" si="68"/>
        <v>-4.7200824616132779E-2</v>
      </c>
    </row>
    <row r="937" spans="1:8" x14ac:dyDescent="0.2">
      <c r="A937" s="1">
        <v>45769</v>
      </c>
      <c r="B937">
        <v>198.87299999999999</v>
      </c>
      <c r="C937">
        <f t="shared" si="69"/>
        <v>3.3500579038641246E-2</v>
      </c>
      <c r="D937">
        <f t="shared" si="64"/>
        <v>2.0393557835500408E-2</v>
      </c>
      <c r="E937">
        <f t="shared" si="65"/>
        <v>3.3544417572167445E-2</v>
      </c>
      <c r="F937">
        <f t="shared" si="66"/>
        <v>4.7442509914745301E-2</v>
      </c>
      <c r="G937">
        <f t="shared" si="67"/>
        <v>-3.3544417572167445E-2</v>
      </c>
      <c r="H937">
        <f t="shared" si="68"/>
        <v>-4.7442509914745301E-2</v>
      </c>
    </row>
    <row r="938" spans="1:8" x14ac:dyDescent="0.2">
      <c r="A938" s="1">
        <v>45770</v>
      </c>
      <c r="B938">
        <v>203.71100000000001</v>
      </c>
      <c r="C938">
        <f t="shared" si="69"/>
        <v>2.403589271740848E-2</v>
      </c>
      <c r="D938">
        <f t="shared" si="64"/>
        <v>2.0443617505243299E-2</v>
      </c>
      <c r="E938">
        <f t="shared" si="65"/>
        <v>3.3626758401508035E-2</v>
      </c>
      <c r="F938">
        <f t="shared" si="66"/>
        <v>4.7558966121026863E-2</v>
      </c>
      <c r="G938">
        <f t="shared" si="67"/>
        <v>-3.3626758401508035E-2</v>
      </c>
      <c r="H938">
        <f t="shared" si="68"/>
        <v>-4.7558966121026863E-2</v>
      </c>
    </row>
    <row r="939" spans="1:8" x14ac:dyDescent="0.2">
      <c r="A939" s="1">
        <v>45771</v>
      </c>
      <c r="B939">
        <v>207.46600000000001</v>
      </c>
      <c r="C939">
        <f t="shared" si="69"/>
        <v>1.8265148066704456E-2</v>
      </c>
      <c r="D939">
        <f t="shared" si="64"/>
        <v>2.0459778853777377E-2</v>
      </c>
      <c r="E939">
        <f t="shared" si="65"/>
        <v>3.3653341454260736E-2</v>
      </c>
      <c r="F939">
        <f t="shared" si="66"/>
        <v>4.7596563039830751E-2</v>
      </c>
      <c r="G939">
        <f t="shared" si="67"/>
        <v>-3.3653341454260736E-2</v>
      </c>
      <c r="H939">
        <f t="shared" si="68"/>
        <v>-4.7596563039830751E-2</v>
      </c>
    </row>
    <row r="940" spans="1:8" x14ac:dyDescent="0.2">
      <c r="A940" s="1">
        <v>45772</v>
      </c>
      <c r="B940">
        <v>208.37200000000001</v>
      </c>
      <c r="C940">
        <f t="shared" si="69"/>
        <v>4.3574730234427188E-3</v>
      </c>
      <c r="D940">
        <f t="shared" si="64"/>
        <v>2.0459181403285811E-2</v>
      </c>
      <c r="E940">
        <f t="shared" si="65"/>
        <v>3.3652358735652761E-2</v>
      </c>
      <c r="F940">
        <f t="shared" si="66"/>
        <v>4.7595173162149854E-2</v>
      </c>
      <c r="G940">
        <f t="shared" si="67"/>
        <v>-3.3652358735652761E-2</v>
      </c>
      <c r="H940">
        <f t="shared" si="68"/>
        <v>-4.7595173162149854E-2</v>
      </c>
    </row>
    <row r="941" spans="1:8" x14ac:dyDescent="0.2">
      <c r="A941" s="1">
        <v>45775</v>
      </c>
      <c r="B941">
        <v>209.22800000000001</v>
      </c>
      <c r="C941">
        <f t="shared" si="69"/>
        <v>4.0996226000586085E-3</v>
      </c>
      <c r="D941">
        <f t="shared" si="64"/>
        <v>2.0458345019681006E-2</v>
      </c>
      <c r="E941">
        <f t="shared" si="65"/>
        <v>3.3650983007046879E-2</v>
      </c>
      <c r="F941">
        <f t="shared" si="66"/>
        <v>4.7593227442928931E-2</v>
      </c>
      <c r="G941">
        <f t="shared" si="67"/>
        <v>-3.3650983007046879E-2</v>
      </c>
      <c r="H941">
        <f t="shared" si="68"/>
        <v>-4.7593227442928931E-2</v>
      </c>
    </row>
    <row r="942" spans="1:8" x14ac:dyDescent="0.2">
      <c r="A942" s="1">
        <v>45776</v>
      </c>
      <c r="B942">
        <v>210.29300000000001</v>
      </c>
      <c r="C942">
        <f t="shared" si="69"/>
        <v>5.0772299256529492E-3</v>
      </c>
      <c r="D942">
        <f t="shared" si="64"/>
        <v>2.0405088042526935E-2</v>
      </c>
      <c r="E942">
        <f t="shared" si="65"/>
        <v>3.3563383075014531E-2</v>
      </c>
      <c r="F942">
        <f t="shared" si="66"/>
        <v>4.7469333187348715E-2</v>
      </c>
      <c r="G942">
        <f t="shared" si="67"/>
        <v>-3.3563383075014531E-2</v>
      </c>
      <c r="H942">
        <f t="shared" si="68"/>
        <v>-4.7469333187348715E-2</v>
      </c>
    </row>
    <row r="943" spans="1:8" x14ac:dyDescent="0.2">
      <c r="A943" s="1">
        <v>45777</v>
      </c>
      <c r="B943">
        <v>211.578</v>
      </c>
      <c r="C943">
        <f t="shared" si="69"/>
        <v>6.0919284522071388E-3</v>
      </c>
      <c r="D943">
        <f t="shared" si="64"/>
        <v>2.0371110503335125E-2</v>
      </c>
      <c r="E943">
        <f t="shared" si="65"/>
        <v>3.3507494996439999E-2</v>
      </c>
      <c r="F943">
        <f t="shared" si="66"/>
        <v>4.7390289611284712E-2</v>
      </c>
      <c r="G943">
        <f t="shared" si="67"/>
        <v>-3.3507494996439999E-2</v>
      </c>
      <c r="H943">
        <f t="shared" si="68"/>
        <v>-4.7390289611284712E-2</v>
      </c>
    </row>
    <row r="944" spans="1:8" x14ac:dyDescent="0.2">
      <c r="A944" s="1">
        <v>45778</v>
      </c>
      <c r="B944">
        <v>212.39400000000001</v>
      </c>
      <c r="C944">
        <f t="shared" si="69"/>
        <v>3.8493155565529178E-3</v>
      </c>
      <c r="D944">
        <f t="shared" si="64"/>
        <v>2.036714491634449E-2</v>
      </c>
      <c r="E944">
        <f t="shared" si="65"/>
        <v>3.3500972186295462E-2</v>
      </c>
      <c r="F944">
        <f t="shared" si="66"/>
        <v>4.7381064276419721E-2</v>
      </c>
      <c r="G944">
        <f t="shared" si="67"/>
        <v>-3.3500972186295462E-2</v>
      </c>
      <c r="H944">
        <f t="shared" si="68"/>
        <v>-4.7381064276419721E-2</v>
      </c>
    </row>
    <row r="945" spans="1:8" x14ac:dyDescent="0.2">
      <c r="A945" s="1">
        <v>45779</v>
      </c>
      <c r="B945">
        <v>204.46</v>
      </c>
      <c r="C945">
        <f t="shared" si="69"/>
        <v>-3.8070683052346281E-2</v>
      </c>
      <c r="D945">
        <f t="shared" si="64"/>
        <v>2.0472651081140273E-2</v>
      </c>
      <c r="E945">
        <f t="shared" si="65"/>
        <v>3.367451438412554E-2</v>
      </c>
      <c r="F945">
        <f t="shared" si="66"/>
        <v>4.7626508318590596E-2</v>
      </c>
      <c r="G945">
        <f t="shared" si="67"/>
        <v>-3.367451438412554E-2</v>
      </c>
      <c r="H945">
        <f t="shared" si="68"/>
        <v>-4.7626508318590596E-2</v>
      </c>
    </row>
    <row r="946" spans="1:8" x14ac:dyDescent="0.2">
      <c r="A946" s="1">
        <v>45782</v>
      </c>
      <c r="B946">
        <v>198.02799999999999</v>
      </c>
      <c r="C946">
        <f t="shared" si="69"/>
        <v>-3.1963922490955789E-2</v>
      </c>
      <c r="D946">
        <f t="shared" si="64"/>
        <v>2.0249905179109934E-2</v>
      </c>
      <c r="E946">
        <f t="shared" si="65"/>
        <v>3.3308129979282362E-2</v>
      </c>
      <c r="F946">
        <f t="shared" si="66"/>
        <v>4.7108323862951003E-2</v>
      </c>
      <c r="G946">
        <f t="shared" si="67"/>
        <v>-3.3308129979282362E-2</v>
      </c>
      <c r="H946">
        <f t="shared" si="68"/>
        <v>-4.7108323862951003E-2</v>
      </c>
    </row>
    <row r="947" spans="1:8" x14ac:dyDescent="0.2">
      <c r="A947" s="1">
        <v>45783</v>
      </c>
      <c r="B947">
        <v>197.648</v>
      </c>
      <c r="C947">
        <f t="shared" si="69"/>
        <v>-1.9207640434543466E-3</v>
      </c>
      <c r="D947">
        <f t="shared" si="64"/>
        <v>2.0241455903073947E-2</v>
      </c>
      <c r="E947">
        <f t="shared" si="65"/>
        <v>3.3294232156949453E-2</v>
      </c>
      <c r="F947">
        <f t="shared" si="66"/>
        <v>4.7088667907607504E-2</v>
      </c>
      <c r="G947">
        <f t="shared" si="67"/>
        <v>-3.3294232156949453E-2</v>
      </c>
      <c r="H947">
        <f t="shared" si="68"/>
        <v>-4.7088667907607504E-2</v>
      </c>
    </row>
    <row r="948" spans="1:8" x14ac:dyDescent="0.2">
      <c r="A948" s="1">
        <v>45784</v>
      </c>
      <c r="B948">
        <v>195.398</v>
      </c>
      <c r="C948">
        <f t="shared" si="69"/>
        <v>-1.1449166652691998E-2</v>
      </c>
      <c r="D948">
        <f t="shared" si="64"/>
        <v>2.0254068170115443E-2</v>
      </c>
      <c r="E948">
        <f t="shared" si="65"/>
        <v>3.3314977490136739E-2</v>
      </c>
      <c r="F948">
        <f t="shared" si="66"/>
        <v>4.7118008428226318E-2</v>
      </c>
      <c r="G948">
        <f t="shared" si="67"/>
        <v>-3.3314977490136739E-2</v>
      </c>
      <c r="H948">
        <f t="shared" si="68"/>
        <v>-4.7118008428226318E-2</v>
      </c>
    </row>
    <row r="949" spans="1:8" x14ac:dyDescent="0.2">
      <c r="A949" s="1">
        <v>45785</v>
      </c>
      <c r="B949">
        <v>196.63200000000001</v>
      </c>
      <c r="C949">
        <f t="shared" si="69"/>
        <v>6.2954573658574797E-3</v>
      </c>
      <c r="D949">
        <f t="shared" si="64"/>
        <v>2.0257369840031982E-2</v>
      </c>
      <c r="E949">
        <f t="shared" si="65"/>
        <v>3.3320408253873959E-2</v>
      </c>
      <c r="F949">
        <f t="shared" si="66"/>
        <v>4.7125689261017449E-2</v>
      </c>
      <c r="G949">
        <f t="shared" si="67"/>
        <v>-3.3320408253873959E-2</v>
      </c>
      <c r="H949">
        <f t="shared" si="68"/>
        <v>-4.7125689261017449E-2</v>
      </c>
    </row>
    <row r="950" spans="1:8" x14ac:dyDescent="0.2">
      <c r="A950" s="1">
        <v>45786</v>
      </c>
      <c r="B950">
        <v>197.66800000000001</v>
      </c>
      <c r="C950">
        <f t="shared" si="69"/>
        <v>5.2548941618059111E-3</v>
      </c>
      <c r="D950">
        <f t="shared" si="64"/>
        <v>2.0250557177233692E-2</v>
      </c>
      <c r="E950">
        <f t="shared" si="65"/>
        <v>3.3309202420760992E-2</v>
      </c>
      <c r="F950">
        <f t="shared" si="66"/>
        <v>4.7109840637400091E-2</v>
      </c>
      <c r="G950">
        <f t="shared" si="67"/>
        <v>-3.3309202420760992E-2</v>
      </c>
      <c r="H950">
        <f t="shared" si="68"/>
        <v>-4.7109840637400091E-2</v>
      </c>
    </row>
    <row r="951" spans="1:8" x14ac:dyDescent="0.2">
      <c r="A951" s="1">
        <v>45789</v>
      </c>
      <c r="B951">
        <v>210.15</v>
      </c>
      <c r="C951">
        <f t="shared" si="69"/>
        <v>6.1232705781696525E-2</v>
      </c>
      <c r="D951">
        <f t="shared" si="64"/>
        <v>2.0608395705239972E-2</v>
      </c>
      <c r="E951">
        <f t="shared" si="65"/>
        <v>3.3897794421415099E-2</v>
      </c>
      <c r="F951">
        <f t="shared" si="66"/>
        <v>4.7942297536277399E-2</v>
      </c>
      <c r="G951">
        <f t="shared" si="67"/>
        <v>-3.3897794421415099E-2</v>
      </c>
      <c r="H951">
        <f t="shared" si="68"/>
        <v>-4.7942297536277399E-2</v>
      </c>
    </row>
    <row r="952" spans="1:8" x14ac:dyDescent="0.2">
      <c r="A952" s="1">
        <v>45790</v>
      </c>
      <c r="B952">
        <v>212.28399999999999</v>
      </c>
      <c r="C952">
        <f t="shared" si="69"/>
        <v>1.0103439368538285E-2</v>
      </c>
      <c r="D952">
        <f t="shared" si="64"/>
        <v>2.0589289730836638E-2</v>
      </c>
      <c r="E952">
        <f t="shared" si="65"/>
        <v>3.3866367890121332E-2</v>
      </c>
      <c r="F952">
        <f t="shared" si="66"/>
        <v>4.7897850393342725E-2</v>
      </c>
      <c r="G952">
        <f t="shared" si="67"/>
        <v>-3.3866367890121332E-2</v>
      </c>
      <c r="H952">
        <f t="shared" si="68"/>
        <v>-4.7897850393342725E-2</v>
      </c>
    </row>
    <row r="953" spans="1:8" x14ac:dyDescent="0.2">
      <c r="A953" s="1">
        <v>45791</v>
      </c>
      <c r="B953">
        <v>211.68600000000001</v>
      </c>
      <c r="C953">
        <f t="shared" si="69"/>
        <v>-2.8209561835192357E-3</v>
      </c>
      <c r="D953">
        <f t="shared" si="64"/>
        <v>2.0587316117418337E-2</v>
      </c>
      <c r="E953">
        <f t="shared" si="65"/>
        <v>3.3863121584932036E-2</v>
      </c>
      <c r="F953">
        <f t="shared" si="66"/>
        <v>4.7893259081962881E-2</v>
      </c>
      <c r="G953">
        <f t="shared" si="67"/>
        <v>-3.3863121584932036E-2</v>
      </c>
      <c r="H953">
        <f t="shared" si="68"/>
        <v>-4.7893259081962881E-2</v>
      </c>
    </row>
    <row r="954" spans="1:8" x14ac:dyDescent="0.2">
      <c r="A954" s="1">
        <v>45792</v>
      </c>
      <c r="B954">
        <v>210.80799999999999</v>
      </c>
      <c r="C954">
        <f t="shared" si="69"/>
        <v>-4.1562780249092138E-3</v>
      </c>
      <c r="D954">
        <f t="shared" si="64"/>
        <v>2.0576161260999891E-2</v>
      </c>
      <c r="E954">
        <f t="shared" si="65"/>
        <v>3.3844773478894037E-2</v>
      </c>
      <c r="F954">
        <f t="shared" si="66"/>
        <v>4.7867309005448604E-2</v>
      </c>
      <c r="G954">
        <f t="shared" si="67"/>
        <v>-3.3844773478894037E-2</v>
      </c>
      <c r="H954">
        <f t="shared" si="68"/>
        <v>-4.7867309005448604E-2</v>
      </c>
    </row>
    <row r="955" spans="1:8" x14ac:dyDescent="0.2">
      <c r="A955" s="1">
        <v>45793</v>
      </c>
      <c r="B955">
        <v>210.62</v>
      </c>
      <c r="C955">
        <f t="shared" si="69"/>
        <v>-8.9220465878445099E-4</v>
      </c>
      <c r="D955">
        <f t="shared" si="64"/>
        <v>2.0576333456802834E-2</v>
      </c>
      <c r="E955">
        <f t="shared" si="65"/>
        <v>3.3845056715785048E-2</v>
      </c>
      <c r="F955">
        <f t="shared" si="66"/>
        <v>4.7867709592788694E-2</v>
      </c>
      <c r="G955">
        <f t="shared" si="67"/>
        <v>-3.3845056715785048E-2</v>
      </c>
      <c r="H955">
        <f t="shared" si="68"/>
        <v>-4.7867709592788694E-2</v>
      </c>
    </row>
    <row r="956" spans="1:8" x14ac:dyDescent="0.2">
      <c r="A956" s="1">
        <v>45796</v>
      </c>
      <c r="B956">
        <v>208.14599999999999</v>
      </c>
      <c r="C956">
        <f t="shared" si="69"/>
        <v>-1.1815805406995545E-2</v>
      </c>
      <c r="D956">
        <f t="shared" si="64"/>
        <v>2.0590937454036055E-2</v>
      </c>
      <c r="E956">
        <f t="shared" si="65"/>
        <v>3.3869078153602107E-2</v>
      </c>
      <c r="F956">
        <f t="shared" si="66"/>
        <v>4.7901683570704699E-2</v>
      </c>
      <c r="G956">
        <f t="shared" si="67"/>
        <v>-3.3869078153602107E-2</v>
      </c>
      <c r="H956">
        <f t="shared" si="68"/>
        <v>-4.7901683570704699E-2</v>
      </c>
    </row>
    <row r="957" spans="1:8" x14ac:dyDescent="0.2">
      <c r="A957" s="1">
        <v>45797</v>
      </c>
      <c r="B957">
        <v>206.232</v>
      </c>
      <c r="C957">
        <f t="shared" si="69"/>
        <v>-9.2380078664240639E-3</v>
      </c>
      <c r="D957">
        <f t="shared" ref="D957:D1020" si="70">_xlfn.STDEV.S(C708:C957)</f>
        <v>2.0596681862109861E-2</v>
      </c>
      <c r="E957">
        <f t="shared" ref="E957:E1020" si="71">_xlfn.NORM.S.INV(0.95)*D957</f>
        <v>3.3878526864056992E-2</v>
      </c>
      <c r="F957">
        <f t="shared" ref="F957:F1020" si="72">_xlfn.NORM.S.INV(0.99)*D957</f>
        <v>4.7915047062214819E-2</v>
      </c>
      <c r="G957">
        <f t="shared" ref="G957:G1020" si="73">-E957</f>
        <v>-3.3878526864056992E-2</v>
      </c>
      <c r="H957">
        <f t="shared" ref="H957:H1020" si="74">-F957</f>
        <v>-4.7915047062214819E-2</v>
      </c>
    </row>
    <row r="958" spans="1:8" x14ac:dyDescent="0.2">
      <c r="A958" s="1">
        <v>45798</v>
      </c>
      <c r="B958">
        <v>201.477</v>
      </c>
      <c r="C958">
        <f t="shared" si="69"/>
        <v>-2.3326517727802514E-2</v>
      </c>
      <c r="D958">
        <f t="shared" si="70"/>
        <v>2.064674263607439E-2</v>
      </c>
      <c r="E958">
        <f t="shared" si="71"/>
        <v>3.3960869509680545E-2</v>
      </c>
      <c r="F958">
        <f t="shared" si="72"/>
        <v>4.8031505837300044E-2</v>
      </c>
      <c r="G958">
        <f t="shared" si="73"/>
        <v>-3.3960869509680545E-2</v>
      </c>
      <c r="H958">
        <f t="shared" si="74"/>
        <v>-4.8031505837300044E-2</v>
      </c>
    </row>
    <row r="959" spans="1:8" x14ac:dyDescent="0.2">
      <c r="A959" s="1">
        <v>45799</v>
      </c>
      <c r="B959">
        <v>200.749</v>
      </c>
      <c r="C959">
        <f t="shared" si="69"/>
        <v>-3.6198594568147015E-3</v>
      </c>
      <c r="D959">
        <f t="shared" si="70"/>
        <v>2.0642274730760881E-2</v>
      </c>
      <c r="E959">
        <f t="shared" si="71"/>
        <v>3.3953520459420745E-2</v>
      </c>
      <c r="F959">
        <f t="shared" si="72"/>
        <v>4.8021111935272545E-2</v>
      </c>
      <c r="G959">
        <f t="shared" si="73"/>
        <v>-3.3953520459420745E-2</v>
      </c>
      <c r="H959">
        <f t="shared" si="74"/>
        <v>-4.8021111935272545E-2</v>
      </c>
    </row>
    <row r="960" spans="1:8" x14ac:dyDescent="0.2">
      <c r="A960" s="1">
        <v>45800</v>
      </c>
      <c r="B960">
        <v>194.678</v>
      </c>
      <c r="C960">
        <f t="shared" si="69"/>
        <v>-3.0708459850885432E-2</v>
      </c>
      <c r="D960">
        <f t="shared" si="70"/>
        <v>2.0690260878296056E-2</v>
      </c>
      <c r="E960">
        <f t="shared" si="71"/>
        <v>3.4032450648237407E-2</v>
      </c>
      <c r="F960">
        <f t="shared" si="72"/>
        <v>4.813274440757441E-2</v>
      </c>
      <c r="G960">
        <f t="shared" si="73"/>
        <v>-3.4032450648237407E-2</v>
      </c>
      <c r="H960">
        <f t="shared" si="74"/>
        <v>-4.813274440757441E-2</v>
      </c>
    </row>
    <row r="961" spans="1:8" x14ac:dyDescent="0.2">
      <c r="A961" s="1">
        <v>45804</v>
      </c>
      <c r="B961">
        <v>199.602</v>
      </c>
      <c r="C961">
        <f t="shared" si="69"/>
        <v>2.4978472223714604E-2</v>
      </c>
      <c r="D961">
        <f t="shared" si="70"/>
        <v>2.0724153669889899E-2</v>
      </c>
      <c r="E961">
        <f t="shared" si="71"/>
        <v>3.4088199329418048E-2</v>
      </c>
      <c r="F961">
        <f t="shared" si="72"/>
        <v>4.8211590831244051E-2</v>
      </c>
      <c r="G961">
        <f t="shared" si="73"/>
        <v>-3.4088199329418048E-2</v>
      </c>
      <c r="H961">
        <f t="shared" si="74"/>
        <v>-4.8211590831244051E-2</v>
      </c>
    </row>
    <row r="962" spans="1:8" x14ac:dyDescent="0.2">
      <c r="A962" s="1">
        <v>45805</v>
      </c>
      <c r="B962">
        <v>199.81200000000001</v>
      </c>
      <c r="C962">
        <f t="shared" si="69"/>
        <v>1.051540603736635E-3</v>
      </c>
      <c r="D962">
        <f t="shared" si="70"/>
        <v>2.0724215946726243E-2</v>
      </c>
      <c r="E962">
        <f t="shared" si="71"/>
        <v>3.4088301765698187E-2</v>
      </c>
      <c r="F962">
        <f t="shared" si="72"/>
        <v>4.8211735708829889E-2</v>
      </c>
      <c r="G962">
        <f t="shared" si="73"/>
        <v>-3.4088301765698187E-2</v>
      </c>
      <c r="H962">
        <f t="shared" si="74"/>
        <v>-4.8211735708829889E-2</v>
      </c>
    </row>
    <row r="963" spans="1:8" x14ac:dyDescent="0.2">
      <c r="A963" s="1">
        <v>45806</v>
      </c>
      <c r="B963">
        <v>199.34299999999999</v>
      </c>
      <c r="C963">
        <f t="shared" ref="C963:C1026" si="75">LN(B963/B962)</f>
        <v>-2.3499653810241695E-3</v>
      </c>
      <c r="D963">
        <f t="shared" si="70"/>
        <v>2.0724681723191567E-2</v>
      </c>
      <c r="E963">
        <f t="shared" si="71"/>
        <v>3.4089067899806522E-2</v>
      </c>
      <c r="F963">
        <f t="shared" si="72"/>
        <v>4.8212819266919768E-2</v>
      </c>
      <c r="G963">
        <f t="shared" si="73"/>
        <v>-3.4089067899806522E-2</v>
      </c>
      <c r="H963">
        <f t="shared" si="74"/>
        <v>-4.8212819266919768E-2</v>
      </c>
    </row>
    <row r="964" spans="1:8" x14ac:dyDescent="0.2">
      <c r="A964" s="1">
        <v>45807</v>
      </c>
      <c r="B964">
        <v>200.24100000000001</v>
      </c>
      <c r="C964">
        <f t="shared" si="75"/>
        <v>4.4946820282842194E-3</v>
      </c>
      <c r="D964">
        <f t="shared" si="70"/>
        <v>2.0724010127895692E-2</v>
      </c>
      <c r="E964">
        <f t="shared" si="71"/>
        <v>3.4087963223848258E-2</v>
      </c>
      <c r="F964">
        <f t="shared" si="72"/>
        <v>4.8211256902630992E-2</v>
      </c>
      <c r="G964">
        <f t="shared" si="73"/>
        <v>-3.4087963223848258E-2</v>
      </c>
      <c r="H964">
        <f t="shared" si="74"/>
        <v>-4.8211256902630992E-2</v>
      </c>
    </row>
    <row r="965" spans="1:8" x14ac:dyDescent="0.2">
      <c r="A965" s="1">
        <v>45810</v>
      </c>
      <c r="B965">
        <v>201.08799999999999</v>
      </c>
      <c r="C965">
        <f t="shared" si="75"/>
        <v>4.2209820748611085E-3</v>
      </c>
      <c r="D965">
        <f t="shared" si="70"/>
        <v>2.0723338739737897E-2</v>
      </c>
      <c r="E965">
        <f t="shared" si="71"/>
        <v>3.4086858888601815E-2</v>
      </c>
      <c r="F965">
        <f t="shared" si="72"/>
        <v>4.820969502021745E-2</v>
      </c>
      <c r="G965">
        <f t="shared" si="73"/>
        <v>-3.4086858888601815E-2</v>
      </c>
      <c r="H965">
        <f t="shared" si="74"/>
        <v>-4.820969502021745E-2</v>
      </c>
    </row>
    <row r="966" spans="1:8" x14ac:dyDescent="0.2">
      <c r="A966" s="1">
        <v>45811</v>
      </c>
      <c r="B966">
        <v>202.65299999999999</v>
      </c>
      <c r="C966">
        <f t="shared" si="75"/>
        <v>7.752533620641015E-3</v>
      </c>
      <c r="D966">
        <f t="shared" si="70"/>
        <v>2.0720984921210453E-2</v>
      </c>
      <c r="E966">
        <f t="shared" si="71"/>
        <v>3.4082987201659767E-2</v>
      </c>
      <c r="F966">
        <f t="shared" si="72"/>
        <v>4.8204219219490259E-2</v>
      </c>
      <c r="G966">
        <f t="shared" si="73"/>
        <v>-3.4082987201659767E-2</v>
      </c>
      <c r="H966">
        <f t="shared" si="74"/>
        <v>-4.8204219219490259E-2</v>
      </c>
    </row>
    <row r="967" spans="1:8" x14ac:dyDescent="0.2">
      <c r="A967" s="1">
        <v>45812</v>
      </c>
      <c r="B967">
        <v>202.20500000000001</v>
      </c>
      <c r="C967">
        <f t="shared" si="75"/>
        <v>-2.2131225410159942E-3</v>
      </c>
      <c r="D967">
        <f t="shared" si="70"/>
        <v>2.0721343181373485E-2</v>
      </c>
      <c r="E967">
        <f t="shared" si="71"/>
        <v>3.4083576487188322E-2</v>
      </c>
      <c r="F967">
        <f t="shared" si="72"/>
        <v>4.8205052657258878E-2</v>
      </c>
      <c r="G967">
        <f t="shared" si="73"/>
        <v>-3.4083576487188322E-2</v>
      </c>
      <c r="H967">
        <f t="shared" si="74"/>
        <v>-4.8205052657258878E-2</v>
      </c>
    </row>
    <row r="968" spans="1:8" x14ac:dyDescent="0.2">
      <c r="A968" s="1">
        <v>45813</v>
      </c>
      <c r="B968">
        <v>200.02199999999999</v>
      </c>
      <c r="C968">
        <f t="shared" si="75"/>
        <v>-1.085467377424609E-2</v>
      </c>
      <c r="D968">
        <f t="shared" si="70"/>
        <v>2.072743824950633E-2</v>
      </c>
      <c r="E968">
        <f t="shared" si="71"/>
        <v>3.4093601982113149E-2</v>
      </c>
      <c r="F968">
        <f t="shared" si="72"/>
        <v>4.8219231906051853E-2</v>
      </c>
      <c r="G968">
        <f t="shared" si="73"/>
        <v>-3.4093601982113149E-2</v>
      </c>
      <c r="H968">
        <f t="shared" si="74"/>
        <v>-4.8219231906051853E-2</v>
      </c>
    </row>
    <row r="969" spans="1:8" x14ac:dyDescent="0.2">
      <c r="A969" s="1">
        <v>45814</v>
      </c>
      <c r="B969">
        <v>203.30199999999999</v>
      </c>
      <c r="C969">
        <f t="shared" si="75"/>
        <v>1.6265197765738839E-2</v>
      </c>
      <c r="D969">
        <f t="shared" si="70"/>
        <v>2.0747422502525245E-2</v>
      </c>
      <c r="E969">
        <f t="shared" si="71"/>
        <v>3.4126473153173228E-2</v>
      </c>
      <c r="F969">
        <f t="shared" si="72"/>
        <v>4.8265722230576708E-2</v>
      </c>
      <c r="G969">
        <f t="shared" si="73"/>
        <v>-3.4126473153173228E-2</v>
      </c>
      <c r="H969">
        <f t="shared" si="74"/>
        <v>-4.8265722230576708E-2</v>
      </c>
    </row>
    <row r="970" spans="1:8" x14ac:dyDescent="0.2">
      <c r="A970" s="1">
        <v>45817</v>
      </c>
      <c r="B970">
        <v>200.839</v>
      </c>
      <c r="C970">
        <f t="shared" si="75"/>
        <v>-1.2188966197941313E-2</v>
      </c>
      <c r="D970">
        <f t="shared" si="70"/>
        <v>2.0747895171422275E-2</v>
      </c>
      <c r="E970">
        <f t="shared" si="71"/>
        <v>3.4127250624322848E-2</v>
      </c>
      <c r="F970">
        <f t="shared" si="72"/>
        <v>4.8266821822860434E-2</v>
      </c>
      <c r="G970">
        <f t="shared" si="73"/>
        <v>-3.4127250624322848E-2</v>
      </c>
      <c r="H970">
        <f t="shared" si="74"/>
        <v>-4.8266821822860434E-2</v>
      </c>
    </row>
    <row r="971" spans="1:8" x14ac:dyDescent="0.2">
      <c r="A971" s="1">
        <v>45818</v>
      </c>
      <c r="B971">
        <v>202.05500000000001</v>
      </c>
      <c r="C971">
        <f t="shared" si="75"/>
        <v>6.0363455019323935E-3</v>
      </c>
      <c r="D971">
        <f t="shared" si="70"/>
        <v>2.0714449223232151E-2</v>
      </c>
      <c r="E971">
        <f t="shared" si="71"/>
        <v>3.4072236935135496E-2</v>
      </c>
      <c r="F971">
        <f t="shared" si="72"/>
        <v>4.8189014912393059E-2</v>
      </c>
      <c r="G971">
        <f t="shared" si="73"/>
        <v>-3.4072236935135496E-2</v>
      </c>
      <c r="H971">
        <f t="shared" si="74"/>
        <v>-4.8189014912393059E-2</v>
      </c>
    </row>
    <row r="972" spans="1:8" x14ac:dyDescent="0.2">
      <c r="A972" s="1">
        <v>45819</v>
      </c>
      <c r="B972">
        <v>198.178</v>
      </c>
      <c r="C972">
        <f t="shared" si="75"/>
        <v>-1.9374320824084745E-2</v>
      </c>
      <c r="D972">
        <f t="shared" si="70"/>
        <v>2.0269735285010665E-2</v>
      </c>
      <c r="E972">
        <f t="shared" si="71"/>
        <v>3.334074760089601E-2</v>
      </c>
      <c r="F972">
        <f t="shared" si="72"/>
        <v>4.7154455587655172E-2</v>
      </c>
      <c r="G972">
        <f t="shared" si="73"/>
        <v>-3.334074760089601E-2</v>
      </c>
      <c r="H972">
        <f t="shared" si="74"/>
        <v>-4.7154455587655172E-2</v>
      </c>
    </row>
    <row r="973" spans="1:8" x14ac:dyDescent="0.2">
      <c r="A973" s="1">
        <v>45820</v>
      </c>
      <c r="B973">
        <v>198.595</v>
      </c>
      <c r="C973">
        <f t="shared" si="75"/>
        <v>2.1019583163846231E-3</v>
      </c>
      <c r="D973">
        <f t="shared" si="70"/>
        <v>2.0190352899205743E-2</v>
      </c>
      <c r="E973">
        <f t="shared" si="71"/>
        <v>3.3210175195688724E-2</v>
      </c>
      <c r="F973">
        <f t="shared" si="72"/>
        <v>4.6969784543201602E-2</v>
      </c>
      <c r="G973">
        <f t="shared" si="73"/>
        <v>-3.3210175195688724E-2</v>
      </c>
      <c r="H973">
        <f t="shared" si="74"/>
        <v>-4.6969784543201602E-2</v>
      </c>
    </row>
    <row r="974" spans="1:8" x14ac:dyDescent="0.2">
      <c r="A974" s="1">
        <v>45821</v>
      </c>
      <c r="B974">
        <v>195.85400000000001</v>
      </c>
      <c r="C974">
        <f t="shared" si="75"/>
        <v>-1.3898091363512876E-2</v>
      </c>
      <c r="D974">
        <f t="shared" si="70"/>
        <v>2.0205471066634475E-2</v>
      </c>
      <c r="E974">
        <f t="shared" si="71"/>
        <v>3.3235042368216734E-2</v>
      </c>
      <c r="F974">
        <f t="shared" si="72"/>
        <v>4.7004954659858829E-2</v>
      </c>
      <c r="G974">
        <f t="shared" si="73"/>
        <v>-3.3235042368216734E-2</v>
      </c>
      <c r="H974">
        <f t="shared" si="74"/>
        <v>-4.7004954659858829E-2</v>
      </c>
    </row>
    <row r="975" spans="1:8" x14ac:dyDescent="0.2">
      <c r="A975" s="1">
        <v>45824</v>
      </c>
      <c r="B975">
        <v>197.81800000000001</v>
      </c>
      <c r="C975">
        <f t="shared" si="75"/>
        <v>9.9779323623961844E-3</v>
      </c>
      <c r="D975">
        <f t="shared" si="70"/>
        <v>2.0209737654174147E-2</v>
      </c>
      <c r="E975">
        <f t="shared" si="71"/>
        <v>3.3242060280206071E-2</v>
      </c>
      <c r="F975">
        <f t="shared" si="72"/>
        <v>4.7014880226711159E-2</v>
      </c>
      <c r="G975">
        <f t="shared" si="73"/>
        <v>-3.3242060280206071E-2</v>
      </c>
      <c r="H975">
        <f t="shared" si="74"/>
        <v>-4.7014880226711159E-2</v>
      </c>
    </row>
    <row r="976" spans="1:8" x14ac:dyDescent="0.2">
      <c r="A976" s="1">
        <v>45825</v>
      </c>
      <c r="B976">
        <v>195.04599999999999</v>
      </c>
      <c r="C976">
        <f t="shared" si="75"/>
        <v>-1.4111987879174314E-2</v>
      </c>
      <c r="D976">
        <f t="shared" si="70"/>
        <v>2.0189635738815315E-2</v>
      </c>
      <c r="E976">
        <f t="shared" si="71"/>
        <v>3.3208995571819423E-2</v>
      </c>
      <c r="F976">
        <f t="shared" si="72"/>
        <v>4.6968116178651986E-2</v>
      </c>
      <c r="G976">
        <f t="shared" si="73"/>
        <v>-3.3208995571819423E-2</v>
      </c>
      <c r="H976">
        <f t="shared" si="74"/>
        <v>-4.6968116178651986E-2</v>
      </c>
    </row>
    <row r="977" spans="1:8" x14ac:dyDescent="0.2">
      <c r="A977" s="1">
        <v>45826</v>
      </c>
      <c r="B977">
        <v>195.98400000000001</v>
      </c>
      <c r="C977">
        <f t="shared" si="75"/>
        <v>4.7975950651106452E-3</v>
      </c>
      <c r="D977">
        <f t="shared" si="70"/>
        <v>2.0180905281282795E-2</v>
      </c>
      <c r="E977">
        <f t="shared" si="71"/>
        <v>3.3194635247082112E-2</v>
      </c>
      <c r="F977">
        <f t="shared" si="72"/>
        <v>4.6947806097331804E-2</v>
      </c>
      <c r="G977">
        <f t="shared" si="73"/>
        <v>-3.3194635247082112E-2</v>
      </c>
      <c r="H977">
        <f t="shared" si="74"/>
        <v>-4.6947806097331804E-2</v>
      </c>
    </row>
    <row r="978" spans="1:8" x14ac:dyDescent="0.2">
      <c r="A978" s="1">
        <v>45828</v>
      </c>
      <c r="B978">
        <v>200.39</v>
      </c>
      <c r="C978">
        <f t="shared" si="75"/>
        <v>2.2232444520722885E-2</v>
      </c>
      <c r="D978">
        <f t="shared" si="70"/>
        <v>2.0185104750374334E-2</v>
      </c>
      <c r="E978">
        <f t="shared" si="71"/>
        <v>3.3201542759048602E-2</v>
      </c>
      <c r="F978">
        <f t="shared" si="72"/>
        <v>4.695757552332501E-2</v>
      </c>
      <c r="G978">
        <f t="shared" si="73"/>
        <v>-3.3201542759048602E-2</v>
      </c>
      <c r="H978">
        <f t="shared" si="74"/>
        <v>-4.695757552332501E-2</v>
      </c>
    </row>
    <row r="979" spans="1:8" x14ac:dyDescent="0.2">
      <c r="A979" s="1">
        <v>45831</v>
      </c>
      <c r="B979">
        <v>200.88900000000001</v>
      </c>
      <c r="C979">
        <f t="shared" si="75"/>
        <v>2.4870489470421213E-3</v>
      </c>
      <c r="D979">
        <f t="shared" si="70"/>
        <v>2.0175074489346131E-2</v>
      </c>
      <c r="E979">
        <f t="shared" si="71"/>
        <v>3.3185044447817093E-2</v>
      </c>
      <c r="F979">
        <f t="shared" si="72"/>
        <v>4.6934241646905975E-2</v>
      </c>
      <c r="G979">
        <f t="shared" si="73"/>
        <v>-3.3185044447817093E-2</v>
      </c>
      <c r="H979">
        <f t="shared" si="74"/>
        <v>-4.6934241646905975E-2</v>
      </c>
    </row>
    <row r="980" spans="1:8" x14ac:dyDescent="0.2">
      <c r="A980" s="1">
        <v>45832</v>
      </c>
      <c r="B980">
        <v>199.69200000000001</v>
      </c>
      <c r="C980">
        <f t="shared" si="75"/>
        <v>-5.9763371838871746E-3</v>
      </c>
      <c r="D980">
        <f t="shared" si="70"/>
        <v>2.0177440914794814E-2</v>
      </c>
      <c r="E980">
        <f t="shared" si="71"/>
        <v>3.3188936871299271E-2</v>
      </c>
      <c r="F980">
        <f t="shared" si="72"/>
        <v>4.6939746775717592E-2</v>
      </c>
      <c r="G980">
        <f t="shared" si="73"/>
        <v>-3.3188936871299271E-2</v>
      </c>
      <c r="H980">
        <f t="shared" si="74"/>
        <v>-4.6939746775717592E-2</v>
      </c>
    </row>
    <row r="981" spans="1:8" x14ac:dyDescent="0.2">
      <c r="A981" s="1">
        <v>45833</v>
      </c>
      <c r="B981">
        <v>200.94900000000001</v>
      </c>
      <c r="C981">
        <f t="shared" si="75"/>
        <v>6.2749649913414491E-3</v>
      </c>
      <c r="D981">
        <f t="shared" si="70"/>
        <v>2.0179432678543111E-2</v>
      </c>
      <c r="E981">
        <f t="shared" si="71"/>
        <v>3.3192213031124684E-2</v>
      </c>
      <c r="F981">
        <f t="shared" si="72"/>
        <v>4.6944380311079038E-2</v>
      </c>
      <c r="G981">
        <f t="shared" si="73"/>
        <v>-3.3192213031124684E-2</v>
      </c>
      <c r="H981">
        <f t="shared" si="74"/>
        <v>-4.6944380311079038E-2</v>
      </c>
    </row>
    <row r="982" spans="1:8" x14ac:dyDescent="0.2">
      <c r="A982" s="1">
        <v>45834</v>
      </c>
      <c r="B982">
        <v>200.39</v>
      </c>
      <c r="C982">
        <f t="shared" si="75"/>
        <v>-2.7856767544963516E-3</v>
      </c>
      <c r="D982">
        <f t="shared" si="70"/>
        <v>2.0140392854284227E-2</v>
      </c>
      <c r="E982">
        <f t="shared" si="71"/>
        <v>3.312799823459691E-2</v>
      </c>
      <c r="F982">
        <f t="shared" si="72"/>
        <v>4.6853560098911451E-2</v>
      </c>
      <c r="G982">
        <f t="shared" si="73"/>
        <v>-3.312799823459691E-2</v>
      </c>
      <c r="H982">
        <f t="shared" si="74"/>
        <v>-4.6853560098911451E-2</v>
      </c>
    </row>
    <row r="983" spans="1:8" x14ac:dyDescent="0.2">
      <c r="A983" s="1">
        <v>45835</v>
      </c>
      <c r="B983">
        <v>200.46899999999999</v>
      </c>
      <c r="C983">
        <f t="shared" si="75"/>
        <v>3.9415356034302172E-4</v>
      </c>
      <c r="D983">
        <f t="shared" si="70"/>
        <v>2.0138671516665849E-2</v>
      </c>
      <c r="E983">
        <f t="shared" si="71"/>
        <v>3.3125166886172112E-2</v>
      </c>
      <c r="F983">
        <f t="shared" si="72"/>
        <v>4.6849555668802431E-2</v>
      </c>
      <c r="G983">
        <f t="shared" si="73"/>
        <v>-3.3125166886172112E-2</v>
      </c>
      <c r="H983">
        <f t="shared" si="74"/>
        <v>-4.6849555668802431E-2</v>
      </c>
    </row>
    <row r="984" spans="1:8" x14ac:dyDescent="0.2">
      <c r="A984" s="1">
        <v>45838</v>
      </c>
      <c r="B984">
        <v>204.548</v>
      </c>
      <c r="C984">
        <f t="shared" si="75"/>
        <v>2.0143045440712673E-2</v>
      </c>
      <c r="D984">
        <f t="shared" si="70"/>
        <v>2.0153493916839821E-2</v>
      </c>
      <c r="E984">
        <f t="shared" si="71"/>
        <v>3.3149547564858398E-2</v>
      </c>
      <c r="F984">
        <f t="shared" si="72"/>
        <v>4.6884037727935333E-2</v>
      </c>
      <c r="G984">
        <f t="shared" si="73"/>
        <v>-3.3149547564858398E-2</v>
      </c>
      <c r="H984">
        <f t="shared" si="74"/>
        <v>-4.6884037727935333E-2</v>
      </c>
    </row>
    <row r="985" spans="1:8" x14ac:dyDescent="0.2">
      <c r="A985" s="1">
        <v>45839</v>
      </c>
      <c r="B985">
        <v>207.18899999999999</v>
      </c>
      <c r="C985">
        <f t="shared" si="75"/>
        <v>1.2828753405870429E-2</v>
      </c>
      <c r="D985">
        <f t="shared" si="70"/>
        <v>2.0087401116757549E-2</v>
      </c>
      <c r="E985">
        <f t="shared" si="71"/>
        <v>3.3040834582927697E-2</v>
      </c>
      <c r="F985">
        <f t="shared" si="72"/>
        <v>4.6730282882974539E-2</v>
      </c>
      <c r="G985">
        <f t="shared" si="73"/>
        <v>-3.3040834582927697E-2</v>
      </c>
      <c r="H985">
        <f t="shared" si="74"/>
        <v>-4.6730282882974539E-2</v>
      </c>
    </row>
    <row r="986" spans="1:8" x14ac:dyDescent="0.2">
      <c r="A986" s="1">
        <v>45840</v>
      </c>
      <c r="B986">
        <v>211.79499999999999</v>
      </c>
      <c r="C986">
        <f t="shared" si="75"/>
        <v>2.1987405539091748E-2</v>
      </c>
      <c r="D986">
        <f t="shared" si="70"/>
        <v>2.0109935158389103E-2</v>
      </c>
      <c r="E986">
        <f t="shared" si="71"/>
        <v>3.3077899783035228E-2</v>
      </c>
      <c r="F986">
        <f t="shared" si="72"/>
        <v>4.6782704902817648E-2</v>
      </c>
      <c r="G986">
        <f t="shared" si="73"/>
        <v>-3.3077899783035228E-2</v>
      </c>
      <c r="H986">
        <f t="shared" si="74"/>
        <v>-4.6782704902817648E-2</v>
      </c>
    </row>
    <row r="987" spans="1:8" x14ac:dyDescent="0.2">
      <c r="A987" s="1">
        <v>45841</v>
      </c>
      <c r="B987">
        <v>212.90199999999999</v>
      </c>
      <c r="C987">
        <f t="shared" si="75"/>
        <v>5.2131402249676502E-3</v>
      </c>
      <c r="D987">
        <f t="shared" si="70"/>
        <v>2.0109271828435638E-2</v>
      </c>
      <c r="E987">
        <f t="shared" si="71"/>
        <v>3.3076808702355409E-2</v>
      </c>
      <c r="F987">
        <f t="shared" si="72"/>
        <v>4.6781161766590619E-2</v>
      </c>
      <c r="G987">
        <f t="shared" si="73"/>
        <v>-3.3076808702355409E-2</v>
      </c>
      <c r="H987">
        <f t="shared" si="74"/>
        <v>-4.6781161766590619E-2</v>
      </c>
    </row>
    <row r="988" spans="1:8" x14ac:dyDescent="0.2">
      <c r="A988" s="1">
        <v>45845</v>
      </c>
      <c r="B988">
        <v>209.31299999999999</v>
      </c>
      <c r="C988">
        <f t="shared" si="75"/>
        <v>-1.7001226612699996E-2</v>
      </c>
      <c r="D988">
        <f t="shared" si="70"/>
        <v>2.0090850494128714E-2</v>
      </c>
      <c r="E988">
        <f t="shared" si="71"/>
        <v>3.3046508303807377E-2</v>
      </c>
      <c r="F988">
        <f t="shared" si="72"/>
        <v>4.6738307334688707E-2</v>
      </c>
      <c r="G988">
        <f t="shared" si="73"/>
        <v>-3.3046508303807377E-2</v>
      </c>
      <c r="H988">
        <f t="shared" si="74"/>
        <v>-4.6738307334688707E-2</v>
      </c>
    </row>
    <row r="989" spans="1:8" x14ac:dyDescent="0.2">
      <c r="A989" s="1">
        <v>45846</v>
      </c>
      <c r="B989">
        <v>209.37299999999999</v>
      </c>
      <c r="C989">
        <f t="shared" si="75"/>
        <v>2.8661097056380616E-4</v>
      </c>
      <c r="D989">
        <f t="shared" si="70"/>
        <v>2.008624966811139E-2</v>
      </c>
      <c r="E989">
        <f t="shared" si="71"/>
        <v>3.3038940618445811E-2</v>
      </c>
      <c r="F989">
        <f t="shared" si="72"/>
        <v>4.6727604212864475E-2</v>
      </c>
      <c r="G989">
        <f t="shared" si="73"/>
        <v>-3.3038940618445811E-2</v>
      </c>
      <c r="H989">
        <f t="shared" si="74"/>
        <v>-4.6727604212864475E-2</v>
      </c>
    </row>
    <row r="990" spans="1:8" x14ac:dyDescent="0.2">
      <c r="A990" s="1">
        <v>45847</v>
      </c>
      <c r="B990">
        <v>210.5</v>
      </c>
      <c r="C990">
        <f t="shared" si="75"/>
        <v>5.3683028275342357E-3</v>
      </c>
      <c r="D990">
        <f t="shared" si="70"/>
        <v>2.0087806463300086E-2</v>
      </c>
      <c r="E990">
        <f t="shared" si="71"/>
        <v>3.3041501318658358E-2</v>
      </c>
      <c r="F990">
        <f t="shared" si="72"/>
        <v>4.6731225860042011E-2</v>
      </c>
      <c r="G990">
        <f t="shared" si="73"/>
        <v>-3.3041501318658358E-2</v>
      </c>
      <c r="H990">
        <f t="shared" si="74"/>
        <v>-4.6731225860042011E-2</v>
      </c>
    </row>
    <row r="991" spans="1:8" x14ac:dyDescent="0.2">
      <c r="A991" s="1">
        <v>45848</v>
      </c>
      <c r="B991">
        <v>211.76599999999999</v>
      </c>
      <c r="C991">
        <f t="shared" si="75"/>
        <v>5.9962383579875902E-3</v>
      </c>
      <c r="D991">
        <f t="shared" si="70"/>
        <v>2.0055861717858992E-2</v>
      </c>
      <c r="E991">
        <f t="shared" si="71"/>
        <v>3.2988956888257537E-2</v>
      </c>
      <c r="F991">
        <f t="shared" si="72"/>
        <v>4.6656911269398353E-2</v>
      </c>
      <c r="G991">
        <f t="shared" si="73"/>
        <v>-3.2988956888257537E-2</v>
      </c>
      <c r="H991">
        <f t="shared" si="74"/>
        <v>-4.6656911269398353E-2</v>
      </c>
    </row>
    <row r="992" spans="1:8" x14ac:dyDescent="0.2">
      <c r="A992" s="1">
        <v>45849</v>
      </c>
      <c r="B992">
        <v>210.52</v>
      </c>
      <c r="C992">
        <f t="shared" si="75"/>
        <v>-5.9012309948453358E-3</v>
      </c>
      <c r="D992">
        <f t="shared" si="70"/>
        <v>2.0005119372281416E-2</v>
      </c>
      <c r="E992">
        <f t="shared" si="71"/>
        <v>3.2905493157094234E-2</v>
      </c>
      <c r="F992">
        <f t="shared" si="72"/>
        <v>4.653886692164011E-2</v>
      </c>
      <c r="G992">
        <f t="shared" si="73"/>
        <v>-3.2905493157094234E-2</v>
      </c>
      <c r="H992">
        <f t="shared" si="74"/>
        <v>-4.653886692164011E-2</v>
      </c>
    </row>
    <row r="993" spans="1:8" x14ac:dyDescent="0.2">
      <c r="A993" s="1">
        <v>45852</v>
      </c>
      <c r="B993">
        <v>207.98699999999999</v>
      </c>
      <c r="C993">
        <f t="shared" si="75"/>
        <v>-1.2105082737466735E-2</v>
      </c>
      <c r="D993">
        <f t="shared" si="70"/>
        <v>2.0001300191729073E-2</v>
      </c>
      <c r="E993">
        <f t="shared" si="71"/>
        <v>3.289921116411073E-2</v>
      </c>
      <c r="F993">
        <f t="shared" si="72"/>
        <v>4.6529982179081587E-2</v>
      </c>
      <c r="G993">
        <f t="shared" si="73"/>
        <v>-3.289921116411073E-2</v>
      </c>
      <c r="H993">
        <f t="shared" si="74"/>
        <v>-4.6529982179081587E-2</v>
      </c>
    </row>
    <row r="994" spans="1:8" x14ac:dyDescent="0.2">
      <c r="A994" s="1">
        <v>45853</v>
      </c>
      <c r="B994">
        <v>208.476</v>
      </c>
      <c r="C994">
        <f t="shared" si="75"/>
        <v>2.3483489516511204E-3</v>
      </c>
      <c r="D994">
        <f t="shared" si="70"/>
        <v>1.9972971834849119E-2</v>
      </c>
      <c r="E994">
        <f t="shared" si="71"/>
        <v>3.285261516355116E-2</v>
      </c>
      <c r="F994">
        <f t="shared" si="72"/>
        <v>4.6464080566278841E-2</v>
      </c>
      <c r="G994">
        <f t="shared" si="73"/>
        <v>-3.285261516355116E-2</v>
      </c>
      <c r="H994">
        <f t="shared" si="74"/>
        <v>-4.6464080566278841E-2</v>
      </c>
    </row>
    <row r="995" spans="1:8" x14ac:dyDescent="0.2">
      <c r="A995" s="1">
        <v>45854</v>
      </c>
      <c r="B995">
        <v>209.523</v>
      </c>
      <c r="C995">
        <f t="shared" si="75"/>
        <v>5.0095918393392863E-3</v>
      </c>
      <c r="D995">
        <f t="shared" si="70"/>
        <v>1.9975449590489521E-2</v>
      </c>
      <c r="E995">
        <f t="shared" si="71"/>
        <v>3.2856690708902979E-2</v>
      </c>
      <c r="F995">
        <f t="shared" si="72"/>
        <v>4.6469844687845284E-2</v>
      </c>
      <c r="G995">
        <f t="shared" si="73"/>
        <v>-3.2856690708902979E-2</v>
      </c>
      <c r="H995">
        <f t="shared" si="74"/>
        <v>-4.6469844687845284E-2</v>
      </c>
    </row>
    <row r="996" spans="1:8" x14ac:dyDescent="0.2">
      <c r="A996" s="1">
        <v>45855</v>
      </c>
      <c r="B996">
        <v>209.38300000000001</v>
      </c>
      <c r="C996">
        <f t="shared" si="75"/>
        <v>-6.684077344907655E-4</v>
      </c>
      <c r="D996">
        <f t="shared" si="70"/>
        <v>1.991124861315308E-2</v>
      </c>
      <c r="E996">
        <f t="shared" si="71"/>
        <v>3.2751089498477298E-2</v>
      </c>
      <c r="F996">
        <f t="shared" si="72"/>
        <v>4.6320490880707305E-2</v>
      </c>
      <c r="G996">
        <f t="shared" si="73"/>
        <v>-3.2751089498477298E-2</v>
      </c>
      <c r="H996">
        <f t="shared" si="74"/>
        <v>-4.6320490880707305E-2</v>
      </c>
    </row>
    <row r="997" spans="1:8" x14ac:dyDescent="0.2">
      <c r="A997" s="1">
        <v>45856</v>
      </c>
      <c r="B997">
        <v>210.54</v>
      </c>
      <c r="C997">
        <f t="shared" si="75"/>
        <v>5.510548018567504E-3</v>
      </c>
      <c r="D997">
        <f t="shared" si="70"/>
        <v>1.9872300458768487E-2</v>
      </c>
      <c r="E997">
        <f t="shared" si="71"/>
        <v>3.2687025485474738E-2</v>
      </c>
      <c r="F997">
        <f t="shared" si="72"/>
        <v>4.6229883924556896E-2</v>
      </c>
      <c r="G997">
        <f t="shared" si="73"/>
        <v>-3.2687025485474738E-2</v>
      </c>
      <c r="H997">
        <f t="shared" si="74"/>
        <v>-4.6229883924556896E-2</v>
      </c>
    </row>
    <row r="998" spans="1:8" x14ac:dyDescent="0.2">
      <c r="A998" s="1">
        <v>45859</v>
      </c>
      <c r="B998">
        <v>211.83500000000001</v>
      </c>
      <c r="C998">
        <f t="shared" si="75"/>
        <v>6.1320109278828888E-3</v>
      </c>
      <c r="D998">
        <f t="shared" si="70"/>
        <v>1.9876299605699088E-2</v>
      </c>
      <c r="E998">
        <f t="shared" si="71"/>
        <v>3.2693603496808249E-2</v>
      </c>
      <c r="F998">
        <f t="shared" si="72"/>
        <v>4.6239187331516877E-2</v>
      </c>
      <c r="G998">
        <f t="shared" si="73"/>
        <v>-3.2693603496808249E-2</v>
      </c>
      <c r="H998">
        <f t="shared" si="74"/>
        <v>-4.6239187331516877E-2</v>
      </c>
    </row>
    <row r="999" spans="1:8" x14ac:dyDescent="0.2">
      <c r="A999" s="1">
        <v>45860</v>
      </c>
      <c r="B999">
        <v>213.75</v>
      </c>
      <c r="C999">
        <f t="shared" si="75"/>
        <v>8.999438065807934E-3</v>
      </c>
      <c r="D999">
        <f t="shared" si="70"/>
        <v>1.9884610364537095E-2</v>
      </c>
      <c r="E999">
        <f t="shared" si="71"/>
        <v>3.2707273478625662E-2</v>
      </c>
      <c r="F999">
        <f t="shared" si="72"/>
        <v>4.6258521047671343E-2</v>
      </c>
      <c r="G999">
        <f t="shared" si="73"/>
        <v>-3.2707273478625662E-2</v>
      </c>
      <c r="H999">
        <f t="shared" si="74"/>
        <v>-4.6258521047671343E-2</v>
      </c>
    </row>
    <row r="1000" spans="1:8" x14ac:dyDescent="0.2">
      <c r="A1000" s="1">
        <v>45861</v>
      </c>
      <c r="B1000">
        <v>213.5</v>
      </c>
      <c r="C1000">
        <f t="shared" si="75"/>
        <v>-1.1702751481903206E-3</v>
      </c>
      <c r="D1000">
        <f t="shared" si="70"/>
        <v>1.988234550244922E-2</v>
      </c>
      <c r="E1000">
        <f t="shared" si="71"/>
        <v>3.2703548112005876E-2</v>
      </c>
      <c r="F1000">
        <f t="shared" si="72"/>
        <v>4.6253252190568216E-2</v>
      </c>
      <c r="G1000">
        <f t="shared" si="73"/>
        <v>-3.2703548112005876E-2</v>
      </c>
      <c r="H1000">
        <f t="shared" si="74"/>
        <v>-4.6253252190568216E-2</v>
      </c>
    </row>
    <row r="1001" spans="1:8" x14ac:dyDescent="0.2">
      <c r="A1001" s="1">
        <v>45862</v>
      </c>
      <c r="B1001">
        <v>213.11199999999999</v>
      </c>
      <c r="C1001">
        <f t="shared" si="75"/>
        <v>-1.8189835587435314E-3</v>
      </c>
      <c r="D1001">
        <f t="shared" si="70"/>
        <v>1.9797250793173078E-2</v>
      </c>
      <c r="E1001">
        <f t="shared" si="71"/>
        <v>3.2563579770818633E-2</v>
      </c>
      <c r="F1001">
        <f t="shared" si="72"/>
        <v>4.6055292294551541E-2</v>
      </c>
      <c r="G1001">
        <f t="shared" si="73"/>
        <v>-3.2563579770818633E-2</v>
      </c>
      <c r="H1001">
        <f t="shared" si="74"/>
        <v>-4.6055292294551541E-2</v>
      </c>
    </row>
    <row r="1002" spans="1:8" x14ac:dyDescent="0.2">
      <c r="A1002" s="1">
        <v>45863</v>
      </c>
      <c r="B1002">
        <v>213.23099999999999</v>
      </c>
      <c r="C1002">
        <f t="shared" si="75"/>
        <v>5.582359888180251E-4</v>
      </c>
      <c r="D1002">
        <f t="shared" si="70"/>
        <v>1.9794998131371477E-2</v>
      </c>
      <c r="E1002">
        <f t="shared" si="71"/>
        <v>3.2559874471883979E-2</v>
      </c>
      <c r="F1002">
        <f t="shared" si="72"/>
        <v>4.605005181955845E-2</v>
      </c>
      <c r="G1002">
        <f t="shared" si="73"/>
        <v>-3.2559874471883979E-2</v>
      </c>
      <c r="H1002">
        <f t="shared" si="74"/>
        <v>-4.605005181955845E-2</v>
      </c>
    </row>
    <row r="1003" spans="1:8" x14ac:dyDescent="0.2">
      <c r="A1003" s="1">
        <v>45866</v>
      </c>
      <c r="B1003">
        <v>213.4</v>
      </c>
      <c r="C1003">
        <f t="shared" si="75"/>
        <v>7.922537688992362E-4</v>
      </c>
      <c r="D1003">
        <f t="shared" si="70"/>
        <v>1.9794575757772173E-2</v>
      </c>
      <c r="E1003">
        <f t="shared" si="71"/>
        <v>3.255917972913723E-2</v>
      </c>
      <c r="F1003">
        <f t="shared" si="72"/>
        <v>4.6049069231633662E-2</v>
      </c>
      <c r="G1003">
        <f t="shared" si="73"/>
        <v>-3.255917972913723E-2</v>
      </c>
      <c r="H1003">
        <f t="shared" si="74"/>
        <v>-4.6049069231633662E-2</v>
      </c>
    </row>
    <row r="1004" spans="1:8" x14ac:dyDescent="0.2">
      <c r="A1004" s="1">
        <v>45867</v>
      </c>
      <c r="B1004">
        <v>210.62899999999999</v>
      </c>
      <c r="C1004">
        <f t="shared" si="75"/>
        <v>-1.3070046843432671E-2</v>
      </c>
      <c r="D1004">
        <f t="shared" si="70"/>
        <v>1.9811491461090142E-2</v>
      </c>
      <c r="E1004">
        <f t="shared" si="71"/>
        <v>3.2587003585092228E-2</v>
      </c>
      <c r="F1004">
        <f t="shared" si="72"/>
        <v>4.6088421042085326E-2</v>
      </c>
      <c r="G1004">
        <f t="shared" si="73"/>
        <v>-3.2587003585092228E-2</v>
      </c>
      <c r="H1004">
        <f t="shared" si="74"/>
        <v>-4.6088421042085326E-2</v>
      </c>
    </row>
    <row r="1005" spans="1:8" x14ac:dyDescent="0.2">
      <c r="A1005" s="1">
        <v>45868</v>
      </c>
      <c r="B1005">
        <v>208.416</v>
      </c>
      <c r="C1005">
        <f t="shared" si="75"/>
        <v>-1.0562209660229398E-2</v>
      </c>
      <c r="D1005">
        <f t="shared" si="70"/>
        <v>1.9821766718819214E-2</v>
      </c>
      <c r="E1005">
        <f t="shared" si="71"/>
        <v>3.2603904880035756E-2</v>
      </c>
      <c r="F1005">
        <f t="shared" si="72"/>
        <v>4.6112324866058568E-2</v>
      </c>
      <c r="G1005">
        <f t="shared" si="73"/>
        <v>-3.2603904880035756E-2</v>
      </c>
      <c r="H1005">
        <f t="shared" si="74"/>
        <v>-4.6112324866058568E-2</v>
      </c>
    </row>
    <row r="1006" spans="1:8" x14ac:dyDescent="0.2">
      <c r="A1006" s="1">
        <v>45869</v>
      </c>
      <c r="B1006">
        <v>206.94</v>
      </c>
      <c r="C1006">
        <f t="shared" si="75"/>
        <v>-7.107186187186431E-3</v>
      </c>
      <c r="D1006">
        <f t="shared" si="70"/>
        <v>1.9803518847996724E-2</v>
      </c>
      <c r="E1006">
        <f t="shared" si="71"/>
        <v>3.2573889803529238E-2</v>
      </c>
      <c r="F1006">
        <f t="shared" si="72"/>
        <v>4.6069873970564897E-2</v>
      </c>
      <c r="G1006">
        <f t="shared" si="73"/>
        <v>-3.2573889803529238E-2</v>
      </c>
      <c r="H1006">
        <f t="shared" si="74"/>
        <v>-4.6069873970564897E-2</v>
      </c>
    </row>
    <row r="1007" spans="1:8" x14ac:dyDescent="0.2">
      <c r="A1007" s="1">
        <v>45870</v>
      </c>
      <c r="B1007">
        <v>201.76599999999999</v>
      </c>
      <c r="C1007">
        <f t="shared" si="75"/>
        <v>-2.5320286099435509E-2</v>
      </c>
      <c r="D1007">
        <f t="shared" si="70"/>
        <v>1.9839123341942839E-2</v>
      </c>
      <c r="E1007">
        <f t="shared" si="71"/>
        <v>3.2632453984532274E-2</v>
      </c>
      <c r="F1007">
        <f t="shared" si="72"/>
        <v>4.6152702409362742E-2</v>
      </c>
      <c r="G1007">
        <f t="shared" si="73"/>
        <v>-3.2632453984532274E-2</v>
      </c>
      <c r="H1007">
        <f t="shared" si="74"/>
        <v>-4.6152702409362742E-2</v>
      </c>
    </row>
    <row r="1008" spans="1:8" x14ac:dyDescent="0.2">
      <c r="A1008" s="1">
        <v>45873</v>
      </c>
      <c r="B1008">
        <v>202.732</v>
      </c>
      <c r="C1008">
        <f t="shared" si="75"/>
        <v>4.7762996922058104E-3</v>
      </c>
      <c r="D1008">
        <f t="shared" si="70"/>
        <v>1.9836570589569405E-2</v>
      </c>
      <c r="E1008">
        <f t="shared" si="71"/>
        <v>3.2628255080532124E-2</v>
      </c>
      <c r="F1008">
        <f t="shared" si="72"/>
        <v>4.6146763819305853E-2</v>
      </c>
      <c r="G1008">
        <f t="shared" si="73"/>
        <v>-3.2628255080532124E-2</v>
      </c>
      <c r="H1008">
        <f t="shared" si="74"/>
        <v>-4.6146763819305853E-2</v>
      </c>
    </row>
    <row r="1009" spans="1:8" x14ac:dyDescent="0.2">
      <c r="A1009" s="1">
        <v>45874</v>
      </c>
      <c r="B1009">
        <v>202.30500000000001</v>
      </c>
      <c r="C1009">
        <f t="shared" si="75"/>
        <v>-2.1084501326440984E-3</v>
      </c>
      <c r="D1009">
        <f t="shared" si="70"/>
        <v>1.9590746235073578E-2</v>
      </c>
      <c r="E1009">
        <f t="shared" si="71"/>
        <v>3.2223909999446659E-2</v>
      </c>
      <c r="F1009">
        <f t="shared" si="72"/>
        <v>4.557489085483702E-2</v>
      </c>
      <c r="G1009">
        <f t="shared" si="73"/>
        <v>-3.2223909999446659E-2</v>
      </c>
      <c r="H1009">
        <f t="shared" si="74"/>
        <v>-4.557489085483702E-2</v>
      </c>
    </row>
    <row r="1010" spans="1:8" x14ac:dyDescent="0.2">
      <c r="A1010" s="1">
        <v>45875</v>
      </c>
      <c r="B1010">
        <v>212.60300000000001</v>
      </c>
      <c r="C1010">
        <f t="shared" si="75"/>
        <v>4.9650117177942869E-2</v>
      </c>
      <c r="D1010">
        <f t="shared" si="70"/>
        <v>1.9831919023501805E-2</v>
      </c>
      <c r="E1010">
        <f t="shared" si="71"/>
        <v>3.2620603935214827E-2</v>
      </c>
      <c r="F1010">
        <f t="shared" si="72"/>
        <v>4.6135942658473532E-2</v>
      </c>
      <c r="G1010">
        <f t="shared" si="73"/>
        <v>-3.2620603935214827E-2</v>
      </c>
      <c r="H1010">
        <f t="shared" si="74"/>
        <v>-4.6135942658473532E-2</v>
      </c>
    </row>
    <row r="1011" spans="1:8" x14ac:dyDescent="0.2">
      <c r="A1011" s="1">
        <v>45876</v>
      </c>
      <c r="B1011">
        <v>219.363</v>
      </c>
      <c r="C1011">
        <f t="shared" si="75"/>
        <v>3.1301315054409647E-2</v>
      </c>
      <c r="D1011">
        <f t="shared" si="70"/>
        <v>1.991468978168618E-2</v>
      </c>
      <c r="E1011">
        <f t="shared" si="71"/>
        <v>3.2756749717019924E-2</v>
      </c>
      <c r="F1011">
        <f t="shared" si="72"/>
        <v>4.6328496235808501E-2</v>
      </c>
      <c r="G1011">
        <f t="shared" si="73"/>
        <v>-3.2756749717019924E-2</v>
      </c>
      <c r="H1011">
        <f t="shared" si="74"/>
        <v>-4.6328496235808501E-2</v>
      </c>
    </row>
    <row r="1012" spans="1:8" x14ac:dyDescent="0.2">
      <c r="A1012" s="1">
        <v>45877</v>
      </c>
      <c r="B1012">
        <v>228.654</v>
      </c>
      <c r="C1012">
        <f t="shared" si="75"/>
        <v>4.1482052068205252E-2</v>
      </c>
      <c r="D1012">
        <f t="shared" si="70"/>
        <v>2.0058919136513968E-2</v>
      </c>
      <c r="E1012">
        <f t="shared" si="71"/>
        <v>3.2993985894421277E-2</v>
      </c>
      <c r="F1012">
        <f t="shared" si="72"/>
        <v>4.6664023888786405E-2</v>
      </c>
      <c r="G1012">
        <f t="shared" si="73"/>
        <v>-3.2993985894421277E-2</v>
      </c>
      <c r="H1012">
        <f t="shared" si="74"/>
        <v>-4.6664023888786405E-2</v>
      </c>
    </row>
    <row r="1013" spans="1:8" x14ac:dyDescent="0.2">
      <c r="A1013" s="1">
        <v>45880</v>
      </c>
      <c r="B1013">
        <v>226.74799999999999</v>
      </c>
      <c r="C1013">
        <f t="shared" si="75"/>
        <v>-8.3706752678006386E-3</v>
      </c>
      <c r="D1013">
        <f t="shared" si="70"/>
        <v>2.0048459635838539E-2</v>
      </c>
      <c r="E1013">
        <f t="shared" si="71"/>
        <v>3.29767815467992E-2</v>
      </c>
      <c r="F1013">
        <f t="shared" si="72"/>
        <v>4.6639691451626594E-2</v>
      </c>
      <c r="G1013">
        <f t="shared" si="73"/>
        <v>-3.29767815467992E-2</v>
      </c>
      <c r="H1013">
        <f t="shared" si="74"/>
        <v>-4.6639691451626594E-2</v>
      </c>
    </row>
    <row r="1014" spans="1:8" x14ac:dyDescent="0.2">
      <c r="A1014" s="1">
        <v>45881</v>
      </c>
      <c r="B1014">
        <v>229.214</v>
      </c>
      <c r="C1014">
        <f t="shared" si="75"/>
        <v>1.0816796329898818E-2</v>
      </c>
      <c r="D1014">
        <f t="shared" si="70"/>
        <v>2.0054958347035225E-2</v>
      </c>
      <c r="E1014">
        <f t="shared" si="71"/>
        <v>3.2987470975481575E-2</v>
      </c>
      <c r="F1014">
        <f t="shared" si="72"/>
        <v>4.6654809714603007E-2</v>
      </c>
      <c r="G1014">
        <f t="shared" si="73"/>
        <v>-3.2987470975481575E-2</v>
      </c>
      <c r="H1014">
        <f t="shared" si="74"/>
        <v>-4.6654809714603007E-2</v>
      </c>
    </row>
    <row r="1015" spans="1:8" x14ac:dyDescent="0.2">
      <c r="A1015" s="1">
        <v>45882</v>
      </c>
      <c r="B1015">
        <v>232.886</v>
      </c>
      <c r="C1015">
        <f t="shared" si="75"/>
        <v>1.589299844803696E-2</v>
      </c>
      <c r="D1015">
        <f t="shared" si="70"/>
        <v>2.0051199771338998E-2</v>
      </c>
      <c r="E1015">
        <f t="shared" si="71"/>
        <v>3.2981288668615466E-2</v>
      </c>
      <c r="F1015">
        <f t="shared" si="72"/>
        <v>4.6646065960022673E-2</v>
      </c>
      <c r="G1015">
        <f t="shared" si="73"/>
        <v>-3.2981288668615466E-2</v>
      </c>
      <c r="H1015">
        <f t="shared" si="74"/>
        <v>-4.6646065960022673E-2</v>
      </c>
    </row>
    <row r="1016" spans="1:8" x14ac:dyDescent="0.2">
      <c r="A1016" s="1">
        <v>45883</v>
      </c>
      <c r="B1016">
        <v>232.33799999999999</v>
      </c>
      <c r="C1016">
        <f t="shared" si="75"/>
        <v>-2.3558554737179551E-3</v>
      </c>
      <c r="D1016">
        <f t="shared" si="70"/>
        <v>2.0051537480268979E-2</v>
      </c>
      <c r="E1016">
        <f t="shared" si="71"/>
        <v>3.29818441503738E-2</v>
      </c>
      <c r="F1016">
        <f t="shared" si="72"/>
        <v>4.6646851588473974E-2</v>
      </c>
      <c r="G1016">
        <f t="shared" si="73"/>
        <v>-3.29818441503738E-2</v>
      </c>
      <c r="H1016">
        <f t="shared" si="74"/>
        <v>-4.6646851588473974E-2</v>
      </c>
    </row>
    <row r="1017" spans="1:8" x14ac:dyDescent="0.2">
      <c r="A1017" s="1">
        <v>45884</v>
      </c>
      <c r="B1017">
        <v>231.15</v>
      </c>
      <c r="C1017">
        <f t="shared" si="75"/>
        <v>-5.1263575396708321E-3</v>
      </c>
      <c r="D1017">
        <f t="shared" si="70"/>
        <v>2.0036746898603072E-2</v>
      </c>
      <c r="E1017">
        <f t="shared" si="71"/>
        <v>3.2957515808475911E-2</v>
      </c>
      <c r="F1017">
        <f t="shared" si="72"/>
        <v>4.6612443550259668E-2</v>
      </c>
      <c r="G1017">
        <f t="shared" si="73"/>
        <v>-3.2957515808475911E-2</v>
      </c>
      <c r="H1017">
        <f t="shared" si="74"/>
        <v>-4.6612443550259668E-2</v>
      </c>
    </row>
    <row r="1018" spans="1:8" x14ac:dyDescent="0.2">
      <c r="A1018" s="1">
        <v>45887</v>
      </c>
      <c r="B1018">
        <v>230.45</v>
      </c>
      <c r="C1018">
        <f t="shared" si="75"/>
        <v>-3.0329312677172403E-3</v>
      </c>
      <c r="D1018">
        <f t="shared" si="70"/>
        <v>2.0034381932884152E-2</v>
      </c>
      <c r="E1018">
        <f t="shared" si="71"/>
        <v>3.2953625786035529E-2</v>
      </c>
      <c r="F1018">
        <f t="shared" si="72"/>
        <v>4.6606941817287278E-2</v>
      </c>
      <c r="G1018">
        <f t="shared" si="73"/>
        <v>-3.2953625786035529E-2</v>
      </c>
      <c r="H1018">
        <f t="shared" si="74"/>
        <v>-4.6606941817287278E-2</v>
      </c>
    </row>
    <row r="1019" spans="1:8" x14ac:dyDescent="0.2">
      <c r="A1019" s="1">
        <v>45888</v>
      </c>
      <c r="B1019">
        <v>230.12200000000001</v>
      </c>
      <c r="C1019">
        <f t="shared" si="75"/>
        <v>-1.4243160915142653E-3</v>
      </c>
      <c r="D1019">
        <f t="shared" si="70"/>
        <v>2.0034548882836258E-2</v>
      </c>
      <c r="E1019">
        <f t="shared" si="71"/>
        <v>3.2953900394269771E-2</v>
      </c>
      <c r="F1019">
        <f t="shared" si="72"/>
        <v>4.660733020095343E-2</v>
      </c>
      <c r="G1019">
        <f t="shared" si="73"/>
        <v>-3.2953900394269771E-2</v>
      </c>
      <c r="H1019">
        <f t="shared" si="74"/>
        <v>-4.660733020095343E-2</v>
      </c>
    </row>
    <row r="1020" spans="1:8" x14ac:dyDescent="0.2">
      <c r="A1020" s="1">
        <v>45889</v>
      </c>
      <c r="B1020">
        <v>225.58</v>
      </c>
      <c r="C1020">
        <f t="shared" si="75"/>
        <v>-1.993473986323218E-2</v>
      </c>
      <c r="D1020">
        <f t="shared" si="70"/>
        <v>2.0073837804835605E-2</v>
      </c>
      <c r="E1020">
        <f t="shared" si="71"/>
        <v>3.3018524920119412E-2</v>
      </c>
      <c r="F1020">
        <f t="shared" si="72"/>
        <v>4.6698729901119965E-2</v>
      </c>
      <c r="G1020">
        <f t="shared" si="73"/>
        <v>-3.3018524920119412E-2</v>
      </c>
      <c r="H1020">
        <f t="shared" si="74"/>
        <v>-4.6698729901119965E-2</v>
      </c>
    </row>
    <row r="1021" spans="1:8" x14ac:dyDescent="0.2">
      <c r="A1021" s="1">
        <v>45890</v>
      </c>
      <c r="B1021">
        <v>224.47200000000001</v>
      </c>
      <c r="C1021">
        <f t="shared" si="75"/>
        <v>-4.9238854114112326E-3</v>
      </c>
      <c r="D1021">
        <f t="shared" ref="D1021:D1084" si="76">_xlfn.STDEV.S(C772:C1021)</f>
        <v>2.0076240183101501E-2</v>
      </c>
      <c r="E1021">
        <f t="shared" ref="E1021:E1084" si="77">_xlfn.NORM.S.INV(0.95)*D1021</f>
        <v>3.302247648072338E-2</v>
      </c>
      <c r="F1021">
        <f t="shared" ref="F1021:F1084" si="78">_xlfn.NORM.S.INV(0.99)*D1021</f>
        <v>4.6704318668691479E-2</v>
      </c>
      <c r="G1021">
        <f t="shared" ref="G1021:G1084" si="79">-E1021</f>
        <v>-3.302247648072338E-2</v>
      </c>
      <c r="H1021">
        <f t="shared" ref="H1021:H1084" si="80">-F1021</f>
        <v>-4.6704318668691479E-2</v>
      </c>
    </row>
    <row r="1022" spans="1:8" x14ac:dyDescent="0.2">
      <c r="A1022" s="1">
        <v>45891</v>
      </c>
      <c r="B1022">
        <v>227.32599999999999</v>
      </c>
      <c r="C1022">
        <f t="shared" si="75"/>
        <v>1.2634132790174129E-2</v>
      </c>
      <c r="D1022">
        <f t="shared" si="76"/>
        <v>2.008517997974045E-2</v>
      </c>
      <c r="E1022">
        <f t="shared" si="77"/>
        <v>3.3037181137649162E-2</v>
      </c>
      <c r="F1022">
        <f t="shared" si="78"/>
        <v>4.6725115745596853E-2</v>
      </c>
      <c r="G1022">
        <f t="shared" si="79"/>
        <v>-3.3037181137649162E-2</v>
      </c>
      <c r="H1022">
        <f t="shared" si="80"/>
        <v>-4.6725115745596853E-2</v>
      </c>
    </row>
    <row r="1023" spans="1:8" x14ac:dyDescent="0.2">
      <c r="A1023" s="1">
        <v>45894</v>
      </c>
      <c r="B1023">
        <v>226.72800000000001</v>
      </c>
      <c r="C1023">
        <f t="shared" si="75"/>
        <v>-2.6340494555907247E-3</v>
      </c>
      <c r="D1023">
        <f t="shared" si="76"/>
        <v>2.0075524986265813E-2</v>
      </c>
      <c r="E1023">
        <f t="shared" si="77"/>
        <v>3.3021300086614212E-2</v>
      </c>
      <c r="F1023">
        <f t="shared" si="78"/>
        <v>4.6702654872053252E-2</v>
      </c>
      <c r="G1023">
        <f t="shared" si="79"/>
        <v>-3.3021300086614212E-2</v>
      </c>
      <c r="H1023">
        <f t="shared" si="80"/>
        <v>-4.6702654872053252E-2</v>
      </c>
    </row>
    <row r="1024" spans="1:8" x14ac:dyDescent="0.2">
      <c r="A1024" s="1">
        <v>45895</v>
      </c>
      <c r="B1024">
        <v>228.874</v>
      </c>
      <c r="C1024">
        <f t="shared" si="75"/>
        <v>9.4205726530267372E-3</v>
      </c>
      <c r="D1024">
        <f t="shared" si="76"/>
        <v>2.0084113130111995E-2</v>
      </c>
      <c r="E1024">
        <f t="shared" si="77"/>
        <v>3.3035426326168384E-2</v>
      </c>
      <c r="F1024">
        <f t="shared" si="78"/>
        <v>4.6722633882231773E-2</v>
      </c>
      <c r="G1024">
        <f t="shared" si="79"/>
        <v>-3.3035426326168384E-2</v>
      </c>
      <c r="H1024">
        <f t="shared" si="80"/>
        <v>-4.6722633882231773E-2</v>
      </c>
    </row>
    <row r="1025" spans="1:8" x14ac:dyDescent="0.2">
      <c r="A1025" s="1">
        <v>45896</v>
      </c>
      <c r="B1025">
        <v>230.05199999999999</v>
      </c>
      <c r="C1025">
        <f t="shared" si="75"/>
        <v>5.1337365379429791E-3</v>
      </c>
      <c r="D1025">
        <f t="shared" si="76"/>
        <v>2.0085338737533504E-2</v>
      </c>
      <c r="E1025">
        <f t="shared" si="77"/>
        <v>3.3037442270980877E-2</v>
      </c>
      <c r="F1025">
        <f t="shared" si="78"/>
        <v>4.672548507145121E-2</v>
      </c>
      <c r="G1025">
        <f t="shared" si="79"/>
        <v>-3.3037442270980877E-2</v>
      </c>
      <c r="H1025">
        <f t="shared" si="80"/>
        <v>-4.672548507145121E-2</v>
      </c>
    </row>
    <row r="1026" spans="1:8" x14ac:dyDescent="0.2">
      <c r="A1026" s="1">
        <v>45897</v>
      </c>
      <c r="B1026">
        <v>232.11799999999999</v>
      </c>
      <c r="C1026">
        <f t="shared" si="75"/>
        <v>8.9404927263918941E-3</v>
      </c>
      <c r="D1026">
        <f t="shared" si="76"/>
        <v>2.0088452598905876E-2</v>
      </c>
      <c r="E1026">
        <f t="shared" si="77"/>
        <v>3.3042564117153048E-2</v>
      </c>
      <c r="F1026">
        <f t="shared" si="78"/>
        <v>4.6732728996234887E-2</v>
      </c>
      <c r="G1026">
        <f t="shared" si="79"/>
        <v>-3.3042564117153048E-2</v>
      </c>
      <c r="H1026">
        <f t="shared" si="80"/>
        <v>-4.6732728996234887E-2</v>
      </c>
    </row>
    <row r="1027" spans="1:8" x14ac:dyDescent="0.2">
      <c r="A1027" s="1">
        <v>45898</v>
      </c>
      <c r="B1027">
        <v>231.69800000000001</v>
      </c>
      <c r="C1027">
        <f t="shared" ref="C1027:C1090" si="81">LN(B1027/B1026)</f>
        <v>-1.8110635027608648E-3</v>
      </c>
      <c r="D1027">
        <f t="shared" si="76"/>
        <v>2.0068172155883489E-2</v>
      </c>
      <c r="E1027">
        <f t="shared" si="77"/>
        <v>3.3009205756891487E-2</v>
      </c>
      <c r="F1027">
        <f t="shared" si="78"/>
        <v>4.6685549630725152E-2</v>
      </c>
      <c r="G1027">
        <f t="shared" si="79"/>
        <v>-3.3009205756891487E-2</v>
      </c>
      <c r="H1027">
        <f t="shared" si="80"/>
        <v>-4.6685549630725152E-2</v>
      </c>
    </row>
    <row r="1028" spans="1:8" x14ac:dyDescent="0.2">
      <c r="A1028" s="1">
        <v>45902</v>
      </c>
      <c r="B1028">
        <v>229.28299999999999</v>
      </c>
      <c r="C1028">
        <f t="shared" si="81"/>
        <v>-1.047775111704112E-2</v>
      </c>
      <c r="D1028">
        <f t="shared" si="76"/>
        <v>2.0078034202132711E-2</v>
      </c>
      <c r="E1028">
        <f t="shared" si="77"/>
        <v>3.3025427379433682E-2</v>
      </c>
      <c r="F1028">
        <f t="shared" si="78"/>
        <v>4.670849218105072E-2</v>
      </c>
      <c r="G1028">
        <f t="shared" si="79"/>
        <v>-3.3025427379433682E-2</v>
      </c>
      <c r="H1028">
        <f t="shared" si="80"/>
        <v>-4.670849218105072E-2</v>
      </c>
    </row>
    <row r="1029" spans="1:8" x14ac:dyDescent="0.2">
      <c r="A1029" s="1">
        <v>45903</v>
      </c>
      <c r="B1029">
        <v>238.01599999999999</v>
      </c>
      <c r="C1029">
        <f t="shared" si="81"/>
        <v>3.7380849870102192E-2</v>
      </c>
      <c r="D1029">
        <f t="shared" si="76"/>
        <v>2.0139517953964632E-2</v>
      </c>
      <c r="E1029">
        <f t="shared" si="77"/>
        <v>3.3126559151633005E-2</v>
      </c>
      <c r="F1029">
        <f t="shared" si="78"/>
        <v>4.6851524776412967E-2</v>
      </c>
      <c r="G1029">
        <f t="shared" si="79"/>
        <v>-3.3126559151633005E-2</v>
      </c>
      <c r="H1029">
        <f t="shared" si="80"/>
        <v>-4.6851524776412967E-2</v>
      </c>
    </row>
    <row r="1030" spans="1:8" x14ac:dyDescent="0.2">
      <c r="A1030" s="1">
        <v>45904</v>
      </c>
      <c r="B1030">
        <v>239.32400000000001</v>
      </c>
      <c r="C1030">
        <f t="shared" si="81"/>
        <v>5.4803841026139838E-3</v>
      </c>
      <c r="D1030">
        <f t="shared" si="76"/>
        <v>2.0134144914208764E-2</v>
      </c>
      <c r="E1030">
        <f t="shared" si="77"/>
        <v>3.3117721287702809E-2</v>
      </c>
      <c r="F1030">
        <f t="shared" si="78"/>
        <v>4.6839025216799765E-2</v>
      </c>
      <c r="G1030">
        <f t="shared" si="79"/>
        <v>-3.3117721287702809E-2</v>
      </c>
      <c r="H1030">
        <f t="shared" si="80"/>
        <v>-4.6839025216799765E-2</v>
      </c>
    </row>
    <row r="1031" spans="1:8" x14ac:dyDescent="0.2">
      <c r="A1031" s="1">
        <v>45905</v>
      </c>
      <c r="B1031">
        <v>239.23400000000001</v>
      </c>
      <c r="C1031">
        <f t="shared" si="81"/>
        <v>-3.7612996151375279E-4</v>
      </c>
      <c r="D1031">
        <f t="shared" si="76"/>
        <v>2.0129888543630136E-2</v>
      </c>
      <c r="E1031">
        <f t="shared" si="77"/>
        <v>3.3110720181118901E-2</v>
      </c>
      <c r="F1031">
        <f t="shared" si="78"/>
        <v>4.682912341815304E-2</v>
      </c>
      <c r="G1031">
        <f t="shared" si="79"/>
        <v>-3.3110720181118901E-2</v>
      </c>
      <c r="H1031">
        <f t="shared" si="80"/>
        <v>-4.682912341815304E-2</v>
      </c>
    </row>
    <row r="1032" spans="1:8" x14ac:dyDescent="0.2">
      <c r="A1032" s="1">
        <v>45908</v>
      </c>
      <c r="B1032">
        <v>237.428</v>
      </c>
      <c r="C1032">
        <f t="shared" si="81"/>
        <v>-7.577732825389762E-3</v>
      </c>
      <c r="D1032">
        <f t="shared" si="76"/>
        <v>2.0130705863498386E-2</v>
      </c>
      <c r="E1032">
        <f t="shared" si="77"/>
        <v>3.3112064552668574E-2</v>
      </c>
      <c r="F1032">
        <f t="shared" si="78"/>
        <v>4.6831024788490959E-2</v>
      </c>
      <c r="G1032">
        <f t="shared" si="79"/>
        <v>-3.3112064552668574E-2</v>
      </c>
      <c r="H1032">
        <f t="shared" si="80"/>
        <v>-4.6831024788490959E-2</v>
      </c>
    </row>
    <row r="1033" spans="1:8" x14ac:dyDescent="0.2">
      <c r="A1033" s="1">
        <v>45909</v>
      </c>
      <c r="B1033">
        <v>233.904</v>
      </c>
      <c r="C1033">
        <f t="shared" si="81"/>
        <v>-1.4953644849055082E-2</v>
      </c>
      <c r="D1033">
        <f t="shared" si="76"/>
        <v>2.0153856251869707E-2</v>
      </c>
      <c r="E1033">
        <f t="shared" si="77"/>
        <v>3.315014355294648E-2</v>
      </c>
      <c r="F1033">
        <f t="shared" si="78"/>
        <v>4.6884880645261799E-2</v>
      </c>
      <c r="G1033">
        <f t="shared" si="79"/>
        <v>-3.315014355294648E-2</v>
      </c>
      <c r="H1033">
        <f t="shared" si="80"/>
        <v>-4.6884880645261799E-2</v>
      </c>
    </row>
    <row r="1034" spans="1:8" x14ac:dyDescent="0.2">
      <c r="A1034" s="1">
        <v>45910</v>
      </c>
      <c r="B1034">
        <v>226.358</v>
      </c>
      <c r="C1034">
        <f t="shared" si="81"/>
        <v>-3.2792958017271015E-2</v>
      </c>
      <c r="D1034">
        <f t="shared" si="76"/>
        <v>2.0260549040960339E-2</v>
      </c>
      <c r="E1034">
        <f t="shared" si="77"/>
        <v>3.332563757405177E-2</v>
      </c>
      <c r="F1034">
        <f t="shared" si="78"/>
        <v>4.7133085188338281E-2</v>
      </c>
      <c r="G1034">
        <f t="shared" si="79"/>
        <v>-3.332563757405177E-2</v>
      </c>
      <c r="H1034">
        <f t="shared" si="80"/>
        <v>-4.7133085188338281E-2</v>
      </c>
    </row>
    <row r="1035" spans="1:8" x14ac:dyDescent="0.2">
      <c r="A1035" s="1">
        <v>45911</v>
      </c>
      <c r="B1035">
        <v>229.59200000000001</v>
      </c>
      <c r="C1035">
        <f t="shared" si="81"/>
        <v>1.4186003880808831E-2</v>
      </c>
      <c r="D1035">
        <f t="shared" si="76"/>
        <v>2.02672712803488E-2</v>
      </c>
      <c r="E1035">
        <f t="shared" si="77"/>
        <v>3.3336694673891117E-2</v>
      </c>
      <c r="F1035">
        <f t="shared" si="78"/>
        <v>4.7148723455648418E-2</v>
      </c>
      <c r="G1035">
        <f t="shared" si="79"/>
        <v>-3.3336694673891117E-2</v>
      </c>
      <c r="H1035">
        <f t="shared" si="80"/>
        <v>-4.7148723455648418E-2</v>
      </c>
    </row>
    <row r="1036" spans="1:8" x14ac:dyDescent="0.2">
      <c r="A1036" s="1">
        <v>45912</v>
      </c>
      <c r="B1036">
        <v>233.624</v>
      </c>
      <c r="C1036">
        <f t="shared" si="81"/>
        <v>1.7409164769937202E-2</v>
      </c>
      <c r="D1036">
        <f t="shared" si="76"/>
        <v>2.0296641709506208E-2</v>
      </c>
      <c r="E1036">
        <f t="shared" si="77"/>
        <v>3.33850047308158E-2</v>
      </c>
      <c r="F1036">
        <f t="shared" si="78"/>
        <v>4.7217049291078422E-2</v>
      </c>
      <c r="G1036">
        <f t="shared" si="79"/>
        <v>-3.33850047308158E-2</v>
      </c>
      <c r="H1036">
        <f t="shared" si="80"/>
        <v>-4.7217049291078422E-2</v>
      </c>
    </row>
    <row r="1037" spans="1:8" x14ac:dyDescent="0.2">
      <c r="A1037" s="1">
        <v>45915</v>
      </c>
      <c r="B1037">
        <v>236.25</v>
      </c>
      <c r="C1037">
        <f t="shared" si="81"/>
        <v>1.1177580971116983E-2</v>
      </c>
      <c r="D1037">
        <f t="shared" si="76"/>
        <v>2.030826236049503E-2</v>
      </c>
      <c r="E1037">
        <f t="shared" si="77"/>
        <v>3.3404119000742305E-2</v>
      </c>
      <c r="F1037">
        <f t="shared" si="78"/>
        <v>4.7244082967801242E-2</v>
      </c>
      <c r="G1037">
        <f t="shared" si="79"/>
        <v>-3.3404119000742305E-2</v>
      </c>
      <c r="H1037">
        <f t="shared" si="80"/>
        <v>-4.7244082967801242E-2</v>
      </c>
    </row>
    <row r="1038" spans="1:8" x14ac:dyDescent="0.2">
      <c r="A1038" s="1">
        <v>45916</v>
      </c>
      <c r="B1038">
        <v>237.697</v>
      </c>
      <c r="C1038">
        <f t="shared" si="81"/>
        <v>6.1061869618729732E-3</v>
      </c>
      <c r="D1038">
        <f t="shared" si="76"/>
        <v>2.0231071058646639E-2</v>
      </c>
      <c r="E1038">
        <f t="shared" si="77"/>
        <v>3.3277150607927873E-2</v>
      </c>
      <c r="F1038">
        <f t="shared" si="78"/>
        <v>4.7064509146851792E-2</v>
      </c>
      <c r="G1038">
        <f t="shared" si="79"/>
        <v>-3.3277150607927873E-2</v>
      </c>
      <c r="H1038">
        <f t="shared" si="80"/>
        <v>-4.7064509146851792E-2</v>
      </c>
    </row>
    <row r="1039" spans="1:8" x14ac:dyDescent="0.2">
      <c r="A1039" s="1">
        <v>45917</v>
      </c>
      <c r="B1039">
        <v>238.536</v>
      </c>
      <c r="C1039">
        <f t="shared" si="81"/>
        <v>3.523488998088934E-3</v>
      </c>
      <c r="D1039">
        <f t="shared" si="76"/>
        <v>2.0231726635615399E-2</v>
      </c>
      <c r="E1039">
        <f t="shared" si="77"/>
        <v>3.3278228936082684E-2</v>
      </c>
      <c r="F1039">
        <f t="shared" si="78"/>
        <v>4.7066034246939337E-2</v>
      </c>
      <c r="G1039">
        <f t="shared" si="79"/>
        <v>-3.3278228936082684E-2</v>
      </c>
      <c r="H1039">
        <f t="shared" si="80"/>
        <v>-4.7066034246939337E-2</v>
      </c>
    </row>
    <row r="1040" spans="1:8" x14ac:dyDescent="0.2">
      <c r="A1040" s="1">
        <v>45918</v>
      </c>
      <c r="B1040">
        <v>237.428</v>
      </c>
      <c r="C1040">
        <f t="shared" si="81"/>
        <v>-4.655822715498993E-3</v>
      </c>
      <c r="D1040">
        <f t="shared" si="76"/>
        <v>2.0203922136051333E-2</v>
      </c>
      <c r="E1040">
        <f t="shared" si="77"/>
        <v>3.3232494604129158E-2</v>
      </c>
      <c r="F1040">
        <f t="shared" si="78"/>
        <v>4.7001351308489703E-2</v>
      </c>
      <c r="G1040">
        <f t="shared" si="79"/>
        <v>-3.3232494604129158E-2</v>
      </c>
      <c r="H1040">
        <f t="shared" si="80"/>
        <v>-4.7001351308489703E-2</v>
      </c>
    </row>
    <row r="1041" spans="1:8" x14ac:dyDescent="0.2">
      <c r="A1041" s="1">
        <v>45919</v>
      </c>
      <c r="B1041">
        <v>245.03299999999999</v>
      </c>
      <c r="C1041">
        <f t="shared" si="81"/>
        <v>3.152847573355691E-2</v>
      </c>
      <c r="D1041">
        <f t="shared" si="76"/>
        <v>2.01713920133802E-2</v>
      </c>
      <c r="E1041">
        <f t="shared" si="77"/>
        <v>3.3178987313868369E-2</v>
      </c>
      <c r="F1041">
        <f t="shared" si="78"/>
        <v>4.6925674926771424E-2</v>
      </c>
      <c r="G1041">
        <f t="shared" si="79"/>
        <v>-3.3178987313868369E-2</v>
      </c>
      <c r="H1041">
        <f t="shared" si="80"/>
        <v>-4.6925674926771424E-2</v>
      </c>
    </row>
    <row r="1042" spans="1:8" x14ac:dyDescent="0.2">
      <c r="A1042" s="1">
        <v>45922</v>
      </c>
      <c r="B1042">
        <v>255.59299999999999</v>
      </c>
      <c r="C1042">
        <f t="shared" si="81"/>
        <v>4.2193440235018427E-2</v>
      </c>
      <c r="D1042">
        <f t="shared" si="76"/>
        <v>2.0343532950141571E-2</v>
      </c>
      <c r="E1042">
        <f t="shared" si="77"/>
        <v>3.3462133958047133E-2</v>
      </c>
      <c r="F1042">
        <f t="shared" si="78"/>
        <v>4.7326134629041637E-2</v>
      </c>
      <c r="G1042">
        <f t="shared" si="79"/>
        <v>-3.3462133958047133E-2</v>
      </c>
      <c r="H1042">
        <f t="shared" si="80"/>
        <v>-4.7326134629041637E-2</v>
      </c>
    </row>
    <row r="1043" spans="1:8" x14ac:dyDescent="0.2">
      <c r="A1043" s="1">
        <v>45923</v>
      </c>
      <c r="B1043">
        <v>253.946</v>
      </c>
      <c r="C1043">
        <f t="shared" si="81"/>
        <v>-6.4646895957995061E-3</v>
      </c>
      <c r="D1043">
        <f t="shared" si="76"/>
        <v>2.0341830812871761E-2</v>
      </c>
      <c r="E1043">
        <f t="shared" si="77"/>
        <v>3.3459334191385318E-2</v>
      </c>
      <c r="F1043">
        <f t="shared" si="78"/>
        <v>4.7322174865622686E-2</v>
      </c>
      <c r="G1043">
        <f t="shared" si="79"/>
        <v>-3.3459334191385318E-2</v>
      </c>
      <c r="H1043">
        <f t="shared" si="80"/>
        <v>-4.7322174865622686E-2</v>
      </c>
    </row>
    <row r="1044" spans="1:8" x14ac:dyDescent="0.2">
      <c r="A1044" s="1">
        <v>45924</v>
      </c>
      <c r="B1044">
        <v>251.83</v>
      </c>
      <c r="C1044">
        <f t="shared" si="81"/>
        <v>-8.3673893013791814E-3</v>
      </c>
      <c r="D1044">
        <f t="shared" si="76"/>
        <v>2.034830460582697E-2</v>
      </c>
      <c r="E1044">
        <f t="shared" si="77"/>
        <v>3.3469982633207822E-2</v>
      </c>
      <c r="F1044">
        <f t="shared" si="78"/>
        <v>4.7337235160101021E-2</v>
      </c>
      <c r="G1044">
        <f t="shared" si="79"/>
        <v>-3.3469982633207822E-2</v>
      </c>
      <c r="H1044">
        <f t="shared" si="80"/>
        <v>-4.7337235160101021E-2</v>
      </c>
    </row>
    <row r="1045" spans="1:8" x14ac:dyDescent="0.2">
      <c r="A1045" s="1">
        <v>45925</v>
      </c>
      <c r="B1045">
        <v>256.38099999999997</v>
      </c>
      <c r="C1045">
        <f t="shared" si="81"/>
        <v>1.7910362646924066E-2</v>
      </c>
      <c r="D1045">
        <f t="shared" si="76"/>
        <v>2.0375909780024171E-2</v>
      </c>
      <c r="E1045">
        <f t="shared" si="77"/>
        <v>3.3515389104108721E-2</v>
      </c>
      <c r="F1045">
        <f t="shared" si="78"/>
        <v>4.7401454398407206E-2</v>
      </c>
      <c r="G1045">
        <f t="shared" si="79"/>
        <v>-3.3515389104108721E-2</v>
      </c>
      <c r="H1045">
        <f t="shared" si="80"/>
        <v>-4.7401454398407206E-2</v>
      </c>
    </row>
    <row r="1046" spans="1:8" x14ac:dyDescent="0.2">
      <c r="A1046" s="1">
        <v>45926</v>
      </c>
      <c r="B1046">
        <v>254.97399999999999</v>
      </c>
      <c r="C1046">
        <f t="shared" si="81"/>
        <v>-5.5030401608776973E-3</v>
      </c>
      <c r="D1046">
        <f t="shared" si="76"/>
        <v>2.037741359324001E-2</v>
      </c>
      <c r="E1046">
        <f t="shared" si="77"/>
        <v>3.3517862656731047E-2</v>
      </c>
      <c r="F1046">
        <f t="shared" si="78"/>
        <v>4.7404952791084823E-2</v>
      </c>
      <c r="G1046">
        <f t="shared" si="79"/>
        <v>-3.3517862656731047E-2</v>
      </c>
      <c r="H1046">
        <f t="shared" si="80"/>
        <v>-4.7404952791084823E-2</v>
      </c>
    </row>
    <row r="1047" spans="1:8" x14ac:dyDescent="0.2">
      <c r="A1047" s="1">
        <v>45929</v>
      </c>
      <c r="B1047">
        <v>253.946</v>
      </c>
      <c r="C1047">
        <f t="shared" si="81"/>
        <v>-4.0399331846672493E-3</v>
      </c>
      <c r="D1047">
        <f t="shared" si="76"/>
        <v>2.0379368904293406E-2</v>
      </c>
      <c r="E1047">
        <f t="shared" si="77"/>
        <v>3.3521078857209043E-2</v>
      </c>
      <c r="F1047">
        <f t="shared" si="78"/>
        <v>4.7409501524796983E-2</v>
      </c>
      <c r="G1047">
        <f t="shared" si="79"/>
        <v>-3.3521078857209043E-2</v>
      </c>
      <c r="H1047">
        <f t="shared" si="80"/>
        <v>-4.7409501524796983E-2</v>
      </c>
    </row>
    <row r="1048" spans="1:8" x14ac:dyDescent="0.2">
      <c r="A1048" s="1">
        <v>45930</v>
      </c>
      <c r="B1048">
        <v>254.14500000000001</v>
      </c>
      <c r="C1048">
        <f t="shared" si="81"/>
        <v>7.8332428708840596E-4</v>
      </c>
      <c r="D1048">
        <f t="shared" si="76"/>
        <v>2.0330776393664651E-2</v>
      </c>
      <c r="E1048">
        <f t="shared" si="77"/>
        <v>3.344115128985866E-2</v>
      </c>
      <c r="F1048">
        <f t="shared" si="78"/>
        <v>4.7296458441001471E-2</v>
      </c>
      <c r="G1048">
        <f t="shared" si="79"/>
        <v>-3.344115128985866E-2</v>
      </c>
      <c r="H1048">
        <f t="shared" si="80"/>
        <v>-4.7296458441001471E-2</v>
      </c>
    </row>
    <row r="1049" spans="1:8" x14ac:dyDescent="0.2">
      <c r="A1049" s="1">
        <v>45931</v>
      </c>
      <c r="B1049">
        <v>254.964</v>
      </c>
      <c r="C1049">
        <f t="shared" si="81"/>
        <v>3.2173884433226436E-3</v>
      </c>
      <c r="D1049">
        <f t="shared" si="76"/>
        <v>2.0242364019673009E-2</v>
      </c>
      <c r="E1049">
        <f t="shared" si="77"/>
        <v>3.3295725875831114E-2</v>
      </c>
      <c r="F1049">
        <f t="shared" si="78"/>
        <v>4.7090780502727109E-2</v>
      </c>
      <c r="G1049">
        <f t="shared" si="79"/>
        <v>-3.3295725875831114E-2</v>
      </c>
      <c r="H1049">
        <f t="shared" si="80"/>
        <v>-4.7090780502727109E-2</v>
      </c>
    </row>
    <row r="1050" spans="1:8" x14ac:dyDescent="0.2">
      <c r="A1050" s="1">
        <v>45932</v>
      </c>
      <c r="B1050">
        <v>256.64100000000002</v>
      </c>
      <c r="C1050">
        <f t="shared" si="81"/>
        <v>6.5558624577845013E-3</v>
      </c>
      <c r="D1050">
        <f t="shared" si="76"/>
        <v>2.0245586715323217E-2</v>
      </c>
      <c r="E1050">
        <f t="shared" si="77"/>
        <v>3.3301026738459923E-2</v>
      </c>
      <c r="F1050">
        <f t="shared" si="78"/>
        <v>4.7098277613901653E-2</v>
      </c>
      <c r="G1050">
        <f t="shared" si="79"/>
        <v>-3.3301026738459923E-2</v>
      </c>
      <c r="H1050">
        <f t="shared" si="80"/>
        <v>-4.7098277613901653E-2</v>
      </c>
    </row>
    <row r="1051" spans="1:8" x14ac:dyDescent="0.2">
      <c r="A1051" s="1">
        <v>45933</v>
      </c>
      <c r="B1051">
        <v>257.529</v>
      </c>
      <c r="C1051">
        <f t="shared" si="81"/>
        <v>3.4541139424183009E-3</v>
      </c>
      <c r="D1051">
        <f t="shared" si="76"/>
        <v>2.0243484314739751E-2</v>
      </c>
      <c r="E1051">
        <f t="shared" si="77"/>
        <v>3.32975685972349E-2</v>
      </c>
      <c r="F1051">
        <f t="shared" si="78"/>
        <v>4.7093386698773929E-2</v>
      </c>
      <c r="G1051">
        <f t="shared" si="79"/>
        <v>-3.32975685972349E-2</v>
      </c>
      <c r="H1051">
        <f t="shared" si="80"/>
        <v>-4.7093386698773929E-2</v>
      </c>
    </row>
    <row r="1052" spans="1:8" x14ac:dyDescent="0.2">
      <c r="A1052" s="1">
        <v>45936</v>
      </c>
      <c r="B1052">
        <v>256.20100000000002</v>
      </c>
      <c r="C1052">
        <f t="shared" si="81"/>
        <v>-5.1700424660639181E-3</v>
      </c>
      <c r="D1052">
        <f t="shared" si="76"/>
        <v>2.0244732596457617E-2</v>
      </c>
      <c r="E1052">
        <f t="shared" si="77"/>
        <v>3.3299621837945992E-2</v>
      </c>
      <c r="F1052">
        <f t="shared" si="78"/>
        <v>4.7096290636294488E-2</v>
      </c>
      <c r="G1052">
        <f t="shared" si="79"/>
        <v>-3.3299621837945992E-2</v>
      </c>
      <c r="H1052">
        <f t="shared" si="80"/>
        <v>-4.7096290636294488E-2</v>
      </c>
    </row>
    <row r="1053" spans="1:8" x14ac:dyDescent="0.2">
      <c r="A1053" s="1">
        <v>45937</v>
      </c>
      <c r="B1053">
        <v>255.99199999999999</v>
      </c>
      <c r="C1053">
        <f t="shared" si="81"/>
        <v>-8.1609866437003849E-4</v>
      </c>
      <c r="D1053">
        <f t="shared" si="76"/>
        <v>2.0190778430893591E-2</v>
      </c>
      <c r="E1053">
        <f t="shared" si="77"/>
        <v>3.3210875133028867E-2</v>
      </c>
      <c r="F1053">
        <f t="shared" si="78"/>
        <v>4.6970774477938966E-2</v>
      </c>
      <c r="G1053">
        <f t="shared" si="79"/>
        <v>-3.3210875133028867E-2</v>
      </c>
      <c r="H1053">
        <f t="shared" si="80"/>
        <v>-4.6970774477938966E-2</v>
      </c>
    </row>
    <row r="1054" spans="1:8" x14ac:dyDescent="0.2">
      <c r="A1054" s="1">
        <v>45938</v>
      </c>
      <c r="B1054">
        <v>257.56900000000002</v>
      </c>
      <c r="C1054">
        <f t="shared" si="81"/>
        <v>6.1414513823877534E-3</v>
      </c>
      <c r="D1054">
        <f t="shared" si="76"/>
        <v>2.0162829233508268E-2</v>
      </c>
      <c r="E1054">
        <f t="shared" si="77"/>
        <v>3.3164902794339236E-2</v>
      </c>
      <c r="F1054">
        <f t="shared" si="78"/>
        <v>4.6905754922020475E-2</v>
      </c>
      <c r="G1054">
        <f t="shared" si="79"/>
        <v>-3.3164902794339236E-2</v>
      </c>
      <c r="H1054">
        <f t="shared" si="80"/>
        <v>-4.6905754922020475E-2</v>
      </c>
    </row>
    <row r="1055" spans="1:8" x14ac:dyDescent="0.2">
      <c r="A1055" s="1">
        <v>45939</v>
      </c>
      <c r="B1055">
        <v>253.55699999999999</v>
      </c>
      <c r="C1055">
        <f t="shared" si="81"/>
        <v>-1.569899554685315E-2</v>
      </c>
      <c r="D1055">
        <f t="shared" si="76"/>
        <v>2.0163179169084357E-2</v>
      </c>
      <c r="E1055">
        <f t="shared" si="77"/>
        <v>3.3165478387140762E-2</v>
      </c>
      <c r="F1055">
        <f t="shared" si="78"/>
        <v>4.6906568993903962E-2</v>
      </c>
      <c r="G1055">
        <f t="shared" si="79"/>
        <v>-3.3165478387140762E-2</v>
      </c>
      <c r="H1055">
        <f t="shared" si="80"/>
        <v>-4.6906568993903962E-2</v>
      </c>
    </row>
    <row r="1056" spans="1:8" x14ac:dyDescent="0.2">
      <c r="A1056" s="1">
        <v>45940</v>
      </c>
      <c r="B1056">
        <v>244.803</v>
      </c>
      <c r="C1056">
        <f t="shared" si="81"/>
        <v>-3.5134844361764436E-2</v>
      </c>
      <c r="D1056">
        <f t="shared" si="76"/>
        <v>2.0287609231007468E-2</v>
      </c>
      <c r="E1056">
        <f t="shared" si="77"/>
        <v>3.3370147625796785E-2</v>
      </c>
      <c r="F1056">
        <f t="shared" si="78"/>
        <v>4.7196036603925559E-2</v>
      </c>
      <c r="G1056">
        <f t="shared" si="79"/>
        <v>-3.3370147625796785E-2</v>
      </c>
      <c r="H1056">
        <f t="shared" si="80"/>
        <v>-4.7196036603925559E-2</v>
      </c>
    </row>
    <row r="1057" spans="1:8" x14ac:dyDescent="0.2">
      <c r="A1057" s="1">
        <v>45943</v>
      </c>
      <c r="B1057">
        <v>247.18899999999999</v>
      </c>
      <c r="C1057">
        <f t="shared" si="81"/>
        <v>9.6994207465352714E-3</v>
      </c>
      <c r="D1057">
        <f t="shared" si="76"/>
        <v>2.0291662499272566E-2</v>
      </c>
      <c r="E1057">
        <f t="shared" si="77"/>
        <v>3.3376814658803641E-2</v>
      </c>
      <c r="F1057">
        <f t="shared" si="78"/>
        <v>4.7205465915936988E-2</v>
      </c>
      <c r="G1057">
        <f t="shared" si="79"/>
        <v>-3.3376814658803641E-2</v>
      </c>
      <c r="H1057">
        <f t="shared" si="80"/>
        <v>-4.7205465915936988E-2</v>
      </c>
    </row>
    <row r="1058" spans="1:8" x14ac:dyDescent="0.2">
      <c r="A1058" s="1">
        <v>45944</v>
      </c>
      <c r="B1058">
        <v>247.29900000000001</v>
      </c>
      <c r="C1058">
        <f t="shared" si="81"/>
        <v>4.4490463596471701E-4</v>
      </c>
      <c r="D1058">
        <f t="shared" si="76"/>
        <v>2.0266244541022726E-2</v>
      </c>
      <c r="E1058">
        <f t="shared" si="77"/>
        <v>3.3335005837986688E-2</v>
      </c>
      <c r="F1058">
        <f t="shared" si="78"/>
        <v>4.7146334902800013E-2</v>
      </c>
      <c r="G1058">
        <f t="shared" si="79"/>
        <v>-3.3335005837986688E-2</v>
      </c>
      <c r="H1058">
        <f t="shared" si="80"/>
        <v>-4.7146334902800013E-2</v>
      </c>
    </row>
    <row r="1059" spans="1:8" x14ac:dyDescent="0.2">
      <c r="A1059" s="1">
        <v>45945</v>
      </c>
      <c r="B1059">
        <v>248.86600000000001</v>
      </c>
      <c r="C1059">
        <f t="shared" si="81"/>
        <v>6.316468150636783E-3</v>
      </c>
      <c r="D1059">
        <f t="shared" si="76"/>
        <v>2.0258550197396488E-2</v>
      </c>
      <c r="E1059">
        <f t="shared" si="77"/>
        <v>3.3322349768966066E-2</v>
      </c>
      <c r="F1059">
        <f t="shared" si="78"/>
        <v>4.7128435182862978E-2</v>
      </c>
      <c r="G1059">
        <f t="shared" si="79"/>
        <v>-3.3322349768966066E-2</v>
      </c>
      <c r="H1059">
        <f t="shared" si="80"/>
        <v>-4.7128435182862978E-2</v>
      </c>
    </row>
    <row r="1060" spans="1:8" x14ac:dyDescent="0.2">
      <c r="A1060" s="1">
        <v>45946</v>
      </c>
      <c r="B1060">
        <v>246.97900000000001</v>
      </c>
      <c r="C1060">
        <f t="shared" si="81"/>
        <v>-7.6112862275411405E-3</v>
      </c>
      <c r="D1060">
        <f t="shared" si="76"/>
        <v>2.0256389846617377E-2</v>
      </c>
      <c r="E1060">
        <f t="shared" si="77"/>
        <v>3.3318796308151551E-2</v>
      </c>
      <c r="F1060">
        <f t="shared" si="78"/>
        <v>4.7123409455420803E-2</v>
      </c>
      <c r="G1060">
        <f t="shared" si="79"/>
        <v>-3.3318796308151551E-2</v>
      </c>
      <c r="H1060">
        <f t="shared" si="80"/>
        <v>-4.7123409455420803E-2</v>
      </c>
    </row>
    <row r="1061" spans="1:8" x14ac:dyDescent="0.2">
      <c r="A1061" s="1">
        <v>45947</v>
      </c>
      <c r="B1061">
        <v>251.81</v>
      </c>
      <c r="C1061">
        <f t="shared" si="81"/>
        <v>1.9371522109804688E-2</v>
      </c>
      <c r="D1061">
        <f t="shared" si="76"/>
        <v>2.0292193064018655E-2</v>
      </c>
      <c r="E1061">
        <f t="shared" si="77"/>
        <v>3.3377687360150579E-2</v>
      </c>
      <c r="F1061">
        <f t="shared" si="78"/>
        <v>4.720670019410609E-2</v>
      </c>
      <c r="G1061">
        <f t="shared" si="79"/>
        <v>-3.3377687360150579E-2</v>
      </c>
      <c r="H1061">
        <f t="shared" si="80"/>
        <v>-4.720670019410609E-2</v>
      </c>
    </row>
    <row r="1062" spans="1:8" x14ac:dyDescent="0.2">
      <c r="A1062" s="1">
        <v>45950</v>
      </c>
      <c r="B1062">
        <v>261.74099999999999</v>
      </c>
      <c r="C1062">
        <f t="shared" si="81"/>
        <v>3.8680630324908392E-2</v>
      </c>
      <c r="D1062">
        <f t="shared" si="76"/>
        <v>2.0422970896958513E-2</v>
      </c>
      <c r="E1062">
        <f t="shared" si="77"/>
        <v>3.3592797752986556E-2</v>
      </c>
      <c r="F1062">
        <f t="shared" si="78"/>
        <v>4.7510934927737399E-2</v>
      </c>
      <c r="G1062">
        <f t="shared" si="79"/>
        <v>-3.3592797752986556E-2</v>
      </c>
      <c r="H1062">
        <f t="shared" si="80"/>
        <v>-4.7510934927737399E-2</v>
      </c>
    </row>
    <row r="1063" spans="1:8" x14ac:dyDescent="0.2">
      <c r="A1063" s="1">
        <v>45951</v>
      </c>
      <c r="B1063">
        <v>262.27100000000002</v>
      </c>
      <c r="C1063">
        <f t="shared" si="81"/>
        <v>2.0228551282317968E-3</v>
      </c>
      <c r="D1063">
        <f t="shared" si="76"/>
        <v>2.0419874825261527E-2</v>
      </c>
      <c r="E1063">
        <f t="shared" si="77"/>
        <v>3.358770516822647E-2</v>
      </c>
      <c r="F1063">
        <f t="shared" si="78"/>
        <v>4.7503732387927239E-2</v>
      </c>
      <c r="G1063">
        <f t="shared" si="79"/>
        <v>-3.358770516822647E-2</v>
      </c>
      <c r="H1063">
        <f t="shared" si="80"/>
        <v>-4.7503732387927239E-2</v>
      </c>
    </row>
    <row r="1064" spans="1:8" x14ac:dyDescent="0.2">
      <c r="A1064" s="1">
        <v>45952</v>
      </c>
      <c r="B1064">
        <v>257.959</v>
      </c>
      <c r="C1064">
        <f t="shared" si="81"/>
        <v>-1.6577662768929691E-2</v>
      </c>
      <c r="D1064">
        <f t="shared" si="76"/>
        <v>2.0447337443414468E-2</v>
      </c>
      <c r="E1064">
        <f t="shared" si="77"/>
        <v>3.3632877155300916E-2</v>
      </c>
      <c r="F1064">
        <f t="shared" si="78"/>
        <v>4.7567619991282929E-2</v>
      </c>
      <c r="G1064">
        <f t="shared" si="79"/>
        <v>-3.3632877155300916E-2</v>
      </c>
      <c r="H1064">
        <f t="shared" si="80"/>
        <v>-4.7567619991282929E-2</v>
      </c>
    </row>
    <row r="1065" spans="1:8" x14ac:dyDescent="0.2">
      <c r="A1065" s="1">
        <v>45953</v>
      </c>
      <c r="B1065">
        <v>259.08699999999999</v>
      </c>
      <c r="C1065">
        <f t="shared" si="81"/>
        <v>4.363255066554628E-3</v>
      </c>
      <c r="D1065">
        <f t="shared" si="76"/>
        <v>2.0399929719970001E-2</v>
      </c>
      <c r="E1065">
        <f t="shared" si="77"/>
        <v>3.3554898389447772E-2</v>
      </c>
      <c r="F1065">
        <f t="shared" si="78"/>
        <v>4.7457333134634773E-2</v>
      </c>
      <c r="G1065">
        <f t="shared" si="79"/>
        <v>-3.3554898389447772E-2</v>
      </c>
      <c r="H1065">
        <f t="shared" si="80"/>
        <v>-4.7457333134634773E-2</v>
      </c>
    </row>
    <row r="1066" spans="1:8" x14ac:dyDescent="0.2">
      <c r="A1066" s="1">
        <v>45954</v>
      </c>
      <c r="B1066">
        <v>262.32</v>
      </c>
      <c r="C1066">
        <f t="shared" si="81"/>
        <v>1.2401219905186259E-2</v>
      </c>
      <c r="D1066">
        <f t="shared" si="76"/>
        <v>2.0413656709823057E-2</v>
      </c>
      <c r="E1066">
        <f t="shared" si="77"/>
        <v>3.3577477278494701E-2</v>
      </c>
      <c r="F1066">
        <f t="shared" si="78"/>
        <v>4.7489266888296411E-2</v>
      </c>
      <c r="G1066">
        <f t="shared" si="79"/>
        <v>-3.3577477278494701E-2</v>
      </c>
      <c r="H1066">
        <f t="shared" si="80"/>
        <v>-4.7489266888296411E-2</v>
      </c>
    </row>
    <row r="1067" spans="1:8" x14ac:dyDescent="0.2">
      <c r="A1067" s="1">
        <v>45957</v>
      </c>
      <c r="B1067">
        <v>268.29899999999998</v>
      </c>
      <c r="C1067">
        <f t="shared" si="81"/>
        <v>2.2536897717162413E-2</v>
      </c>
      <c r="D1067">
        <f t="shared" si="76"/>
        <v>2.0460109523319087E-2</v>
      </c>
      <c r="E1067">
        <f t="shared" si="77"/>
        <v>3.365388535725574E-2</v>
      </c>
      <c r="F1067">
        <f t="shared" si="78"/>
        <v>4.7597332292216118E-2</v>
      </c>
      <c r="G1067">
        <f t="shared" si="79"/>
        <v>-3.365388535725574E-2</v>
      </c>
      <c r="H1067">
        <f t="shared" si="80"/>
        <v>-4.7597332292216118E-2</v>
      </c>
    </row>
    <row r="1068" spans="1:8" x14ac:dyDescent="0.2">
      <c r="A1068" s="1">
        <v>45958</v>
      </c>
      <c r="B1068">
        <v>268.488</v>
      </c>
      <c r="C1068">
        <f t="shared" si="81"/>
        <v>7.0418995918384902E-4</v>
      </c>
      <c r="D1068">
        <f t="shared" si="76"/>
        <v>2.0453903784716638E-2</v>
      </c>
      <c r="E1068">
        <f t="shared" si="77"/>
        <v>3.3643677825607593E-2</v>
      </c>
      <c r="F1068">
        <f t="shared" si="78"/>
        <v>4.7582895585411455E-2</v>
      </c>
      <c r="G1068">
        <f t="shared" si="79"/>
        <v>-3.3643677825607593E-2</v>
      </c>
      <c r="H1068">
        <f t="shared" si="80"/>
        <v>-4.7582895585411455E-2</v>
      </c>
    </row>
    <row r="1069" spans="1:8" x14ac:dyDescent="0.2">
      <c r="A1069" s="1">
        <v>45959</v>
      </c>
      <c r="B1069">
        <v>269.18700000000001</v>
      </c>
      <c r="C1069">
        <f t="shared" si="81"/>
        <v>2.60008515849069E-3</v>
      </c>
      <c r="D1069">
        <f t="shared" si="76"/>
        <v>2.0454268330880997E-2</v>
      </c>
      <c r="E1069">
        <f t="shared" si="77"/>
        <v>3.364427745068823E-2</v>
      </c>
      <c r="F1069">
        <f t="shared" si="78"/>
        <v>4.7583743646605905E-2</v>
      </c>
      <c r="G1069">
        <f t="shared" si="79"/>
        <v>-3.364427745068823E-2</v>
      </c>
      <c r="H1069">
        <f t="shared" si="80"/>
        <v>-4.7583743646605905E-2</v>
      </c>
    </row>
    <row r="1070" spans="1:8" x14ac:dyDescent="0.2">
      <c r="A1070" s="1">
        <v>45960</v>
      </c>
      <c r="B1070">
        <v>270.88400000000001</v>
      </c>
      <c r="C1070">
        <f t="shared" si="81"/>
        <v>6.2843795909246492E-3</v>
      </c>
      <c r="D1070">
        <f t="shared" si="76"/>
        <v>2.043214058573611E-2</v>
      </c>
      <c r="E1070">
        <f t="shared" si="77"/>
        <v>3.3607880548830404E-2</v>
      </c>
      <c r="F1070">
        <f t="shared" si="78"/>
        <v>4.7532266813730781E-2</v>
      </c>
      <c r="G1070">
        <f t="shared" si="79"/>
        <v>-3.3607880548830404E-2</v>
      </c>
      <c r="H1070">
        <f t="shared" si="80"/>
        <v>-4.7532266813730781E-2</v>
      </c>
    </row>
    <row r="1071" spans="1:8" x14ac:dyDescent="0.2">
      <c r="A1071" s="1">
        <v>45961</v>
      </c>
      <c r="B1071">
        <v>269.85500000000002</v>
      </c>
      <c r="C1071">
        <f t="shared" si="81"/>
        <v>-3.8059072568557006E-3</v>
      </c>
      <c r="D1071">
        <f t="shared" si="76"/>
        <v>2.039832810134061E-2</v>
      </c>
      <c r="E1071">
        <f t="shared" si="77"/>
        <v>3.3552263961236228E-2</v>
      </c>
      <c r="F1071">
        <f t="shared" si="78"/>
        <v>4.7453607212541264E-2</v>
      </c>
      <c r="G1071">
        <f t="shared" si="79"/>
        <v>-3.3552263961236228E-2</v>
      </c>
      <c r="H1071">
        <f t="shared" si="80"/>
        <v>-4.7453607212541264E-2</v>
      </c>
    </row>
    <row r="1072" spans="1:8" x14ac:dyDescent="0.2">
      <c r="A1072" s="1">
        <v>45964</v>
      </c>
      <c r="B1072">
        <v>268.53800000000001</v>
      </c>
      <c r="C1072">
        <f t="shared" si="81"/>
        <v>-4.8923467685183988E-3</v>
      </c>
      <c r="D1072">
        <f t="shared" si="76"/>
        <v>2.0381818595434937E-2</v>
      </c>
      <c r="E1072">
        <f t="shared" si="77"/>
        <v>3.3525108240568105E-2</v>
      </c>
      <c r="F1072">
        <f t="shared" si="78"/>
        <v>4.7415200358576139E-2</v>
      </c>
      <c r="G1072">
        <f t="shared" si="79"/>
        <v>-3.3525108240568105E-2</v>
      </c>
      <c r="H1072">
        <f t="shared" si="80"/>
        <v>-4.7415200358576139E-2</v>
      </c>
    </row>
    <row r="1073" spans="1:8" x14ac:dyDescent="0.2">
      <c r="A1073" s="1">
        <v>45965</v>
      </c>
      <c r="B1073">
        <v>269.52600000000001</v>
      </c>
      <c r="C1073">
        <f t="shared" si="81"/>
        <v>3.6724297124804423E-3</v>
      </c>
      <c r="D1073">
        <f t="shared" si="76"/>
        <v>2.0380339128051862E-2</v>
      </c>
      <c r="E1073">
        <f t="shared" si="77"/>
        <v>3.3522674733277094E-2</v>
      </c>
      <c r="F1073">
        <f t="shared" si="78"/>
        <v>4.7411758602774808E-2</v>
      </c>
      <c r="G1073">
        <f t="shared" si="79"/>
        <v>-3.3522674733277094E-2</v>
      </c>
      <c r="H1073">
        <f t="shared" si="80"/>
        <v>-4.7411758602774808E-2</v>
      </c>
    </row>
    <row r="1074" spans="1:8" x14ac:dyDescent="0.2">
      <c r="A1074" s="1">
        <v>45966</v>
      </c>
      <c r="B1074">
        <v>269.62599999999998</v>
      </c>
      <c r="C1074">
        <f t="shared" si="81"/>
        <v>3.7095290807298759E-4</v>
      </c>
      <c r="D1074">
        <f t="shared" si="76"/>
        <v>2.0377180468987399E-2</v>
      </c>
      <c r="E1074">
        <f t="shared" si="77"/>
        <v>3.351747920145861E-2</v>
      </c>
      <c r="F1074">
        <f t="shared" si="78"/>
        <v>4.7404410462975381E-2</v>
      </c>
      <c r="G1074">
        <f t="shared" si="79"/>
        <v>-3.351747920145861E-2</v>
      </c>
      <c r="H1074">
        <f t="shared" si="80"/>
        <v>-4.7404410462975381E-2</v>
      </c>
    </row>
    <row r="1075" spans="1:8" x14ac:dyDescent="0.2">
      <c r="A1075" s="1">
        <v>45967</v>
      </c>
      <c r="B1075">
        <v>269.25700000000001</v>
      </c>
      <c r="C1075">
        <f t="shared" si="81"/>
        <v>-1.3694997157917518E-3</v>
      </c>
      <c r="D1075">
        <f t="shared" si="76"/>
        <v>2.0376014271725071E-2</v>
      </c>
      <c r="E1075">
        <f t="shared" si="77"/>
        <v>3.351556097766193E-2</v>
      </c>
      <c r="F1075">
        <f t="shared" si="78"/>
        <v>4.7401697482453452E-2</v>
      </c>
      <c r="G1075">
        <f t="shared" si="79"/>
        <v>-3.351556097766193E-2</v>
      </c>
      <c r="H1075">
        <f t="shared" si="80"/>
        <v>-4.7401697482453452E-2</v>
      </c>
    </row>
    <row r="1076" spans="1:8" x14ac:dyDescent="0.2">
      <c r="A1076" s="1">
        <v>45968</v>
      </c>
      <c r="B1076">
        <v>267.959</v>
      </c>
      <c r="C1076">
        <f t="shared" si="81"/>
        <v>-4.8323301087222032E-3</v>
      </c>
      <c r="D1076">
        <f t="shared" si="76"/>
        <v>2.0337944944688355E-2</v>
      </c>
      <c r="E1076">
        <f t="shared" si="77"/>
        <v>3.3452942507009989E-2</v>
      </c>
      <c r="F1076">
        <f t="shared" si="78"/>
        <v>4.7313134984435422E-2</v>
      </c>
      <c r="G1076">
        <f t="shared" si="79"/>
        <v>-3.3452942507009989E-2</v>
      </c>
      <c r="H1076">
        <f t="shared" si="80"/>
        <v>-4.7313134984435422E-2</v>
      </c>
    </row>
    <row r="1077" spans="1:8" x14ac:dyDescent="0.2">
      <c r="A1077" s="1">
        <v>45971</v>
      </c>
      <c r="B1077">
        <v>269.178</v>
      </c>
      <c r="C1077">
        <f t="shared" si="81"/>
        <v>4.5388870726385091E-3</v>
      </c>
      <c r="D1077">
        <f t="shared" si="76"/>
        <v>2.0339055125019684E-2</v>
      </c>
      <c r="E1077">
        <f t="shared" si="77"/>
        <v>3.3454768591154545E-2</v>
      </c>
      <c r="F1077">
        <f t="shared" si="78"/>
        <v>4.7315717650089011E-2</v>
      </c>
      <c r="G1077">
        <f t="shared" si="79"/>
        <v>-3.3454768591154545E-2</v>
      </c>
      <c r="H1077">
        <f t="shared" si="80"/>
        <v>-4.7315717650089011E-2</v>
      </c>
    </row>
    <row r="1078" spans="1:8" x14ac:dyDescent="0.2">
      <c r="A1078" s="1">
        <v>45972</v>
      </c>
      <c r="B1078">
        <v>274.99299999999999</v>
      </c>
      <c r="C1078">
        <f t="shared" si="81"/>
        <v>2.1372771991686128E-2</v>
      </c>
      <c r="D1078">
        <f t="shared" si="76"/>
        <v>2.0364584239537464E-2</v>
      </c>
      <c r="E1078">
        <f t="shared" si="77"/>
        <v>3.3496760247761971E-2</v>
      </c>
      <c r="F1078">
        <f t="shared" si="78"/>
        <v>4.7375107251373595E-2</v>
      </c>
      <c r="G1078">
        <f t="shared" si="79"/>
        <v>-3.3496760247761971E-2</v>
      </c>
      <c r="H1078">
        <f t="shared" si="80"/>
        <v>-4.7375107251373595E-2</v>
      </c>
    </row>
    <row r="1079" spans="1:8" x14ac:dyDescent="0.2">
      <c r="A1079" s="1">
        <v>45973</v>
      </c>
      <c r="B1079">
        <v>273.214</v>
      </c>
      <c r="C1079">
        <f t="shared" si="81"/>
        <v>-6.4902719039475008E-3</v>
      </c>
      <c r="D1079">
        <f t="shared" si="76"/>
        <v>2.0369793211392997E-2</v>
      </c>
      <c r="E1079">
        <f t="shared" si="77"/>
        <v>3.3505328244011236E-2</v>
      </c>
      <c r="F1079">
        <f t="shared" si="78"/>
        <v>4.7387225131975651E-2</v>
      </c>
      <c r="G1079">
        <f t="shared" si="79"/>
        <v>-3.3505328244011236E-2</v>
      </c>
      <c r="H1079">
        <f t="shared" si="80"/>
        <v>-4.7387225131975651E-2</v>
      </c>
    </row>
    <row r="1080" spans="1:8" x14ac:dyDescent="0.2">
      <c r="A1080" s="1">
        <v>45974</v>
      </c>
      <c r="B1080">
        <v>272.69499999999999</v>
      </c>
      <c r="C1080">
        <f t="shared" si="81"/>
        <v>-1.9014163765951892E-3</v>
      </c>
      <c r="D1080">
        <f t="shared" si="76"/>
        <v>2.0369528352975768E-2</v>
      </c>
      <c r="E1080">
        <f t="shared" si="77"/>
        <v>3.3504892590683025E-2</v>
      </c>
      <c r="F1080">
        <f t="shared" si="78"/>
        <v>4.7386608979159806E-2</v>
      </c>
      <c r="G1080">
        <f t="shared" si="79"/>
        <v>-3.3504892590683025E-2</v>
      </c>
      <c r="H1080">
        <f t="shared" si="80"/>
        <v>-4.7386608979159806E-2</v>
      </c>
    </row>
    <row r="1081" spans="1:8" x14ac:dyDescent="0.2">
      <c r="A1081" s="1">
        <v>45975</v>
      </c>
      <c r="B1081">
        <v>272.15499999999997</v>
      </c>
      <c r="C1081">
        <f t="shared" si="81"/>
        <v>-1.9821975839582977E-3</v>
      </c>
      <c r="D1081">
        <f t="shared" si="76"/>
        <v>2.0353810515018392E-2</v>
      </c>
      <c r="E1081">
        <f t="shared" si="77"/>
        <v>3.3479039047911004E-2</v>
      </c>
      <c r="F1081">
        <f t="shared" si="78"/>
        <v>4.7350043820243146E-2</v>
      </c>
      <c r="G1081">
        <f t="shared" si="79"/>
        <v>-3.3479039047911004E-2</v>
      </c>
      <c r="H1081">
        <f t="shared" si="80"/>
        <v>-4.7350043820243146E-2</v>
      </c>
    </row>
    <row r="1082" spans="1:8" x14ac:dyDescent="0.2">
      <c r="A1082" s="1">
        <v>45978</v>
      </c>
      <c r="B1082">
        <v>267.20999999999998</v>
      </c>
      <c r="C1082">
        <f t="shared" si="81"/>
        <v>-1.8336890820755521E-2</v>
      </c>
      <c r="D1082">
        <f t="shared" si="76"/>
        <v>2.0367662301437734E-2</v>
      </c>
      <c r="E1082">
        <f t="shared" si="77"/>
        <v>3.350182320904261E-2</v>
      </c>
      <c r="F1082">
        <f t="shared" si="78"/>
        <v>4.7382267894131448E-2</v>
      </c>
      <c r="G1082">
        <f t="shared" si="79"/>
        <v>-3.350182320904261E-2</v>
      </c>
      <c r="H1082">
        <f t="shared" si="80"/>
        <v>-4.7382267894131448E-2</v>
      </c>
    </row>
    <row r="1083" spans="1:8" x14ac:dyDescent="0.2">
      <c r="A1083" s="1">
        <v>45979</v>
      </c>
      <c r="B1083">
        <v>267.19</v>
      </c>
      <c r="C1083">
        <f t="shared" si="81"/>
        <v>-7.485029943605759E-5</v>
      </c>
      <c r="D1083">
        <f t="shared" si="76"/>
        <v>2.0351942422053782E-2</v>
      </c>
      <c r="E1083">
        <f t="shared" si="77"/>
        <v>3.3475966308422679E-2</v>
      </c>
      <c r="F1083">
        <f t="shared" si="78"/>
        <v>4.7345697986146414E-2</v>
      </c>
      <c r="G1083">
        <f t="shared" si="79"/>
        <v>-3.3475966308422679E-2</v>
      </c>
      <c r="H1083">
        <f t="shared" si="80"/>
        <v>-4.7345697986146414E-2</v>
      </c>
    </row>
    <row r="1084" spans="1:8" x14ac:dyDescent="0.2">
      <c r="A1084" s="1">
        <v>45980</v>
      </c>
      <c r="B1084">
        <v>268.30900000000003</v>
      </c>
      <c r="C1084">
        <f t="shared" si="81"/>
        <v>4.1792855962156806E-3</v>
      </c>
      <c r="D1084">
        <f t="shared" si="76"/>
        <v>2.0353140762623196E-2</v>
      </c>
      <c r="E1084">
        <f t="shared" si="77"/>
        <v>3.3477937403254603E-2</v>
      </c>
      <c r="F1084">
        <f t="shared" si="78"/>
        <v>4.7348485743182449E-2</v>
      </c>
      <c r="G1084">
        <f t="shared" si="79"/>
        <v>-3.3477937403254603E-2</v>
      </c>
      <c r="H1084">
        <f t="shared" si="80"/>
        <v>-4.7348485743182449E-2</v>
      </c>
    </row>
    <row r="1085" spans="1:8" x14ac:dyDescent="0.2">
      <c r="A1085" s="1">
        <v>45981</v>
      </c>
      <c r="B1085">
        <v>266.00099999999998</v>
      </c>
      <c r="C1085">
        <f t="shared" si="81"/>
        <v>-8.6392332355387357E-3</v>
      </c>
      <c r="D1085">
        <f t="shared" ref="D1085:D1148" si="82">_xlfn.STDEV.S(C836:C1085)</f>
        <v>2.0361025930831257E-2</v>
      </c>
      <c r="E1085">
        <f t="shared" ref="E1085:E1148" si="83">_xlfn.NORM.S.INV(0.95)*D1085</f>
        <v>3.3490907350780752E-2</v>
      </c>
      <c r="F1085">
        <f t="shared" ref="F1085:F1148" si="84">_xlfn.NORM.S.INV(0.99)*D1085</f>
        <v>4.7366829387479728E-2</v>
      </c>
      <c r="G1085">
        <f t="shared" ref="G1085:G1148" si="85">-E1085</f>
        <v>-3.3490907350780752E-2</v>
      </c>
      <c r="H1085">
        <f t="shared" ref="H1085:H1148" si="86">-F1085</f>
        <v>-4.7366829387479728E-2</v>
      </c>
    </row>
    <row r="1086" spans="1:8" x14ac:dyDescent="0.2">
      <c r="A1086" s="1">
        <v>45982</v>
      </c>
      <c r="B1086">
        <v>271.23599999999999</v>
      </c>
      <c r="C1086">
        <f t="shared" si="81"/>
        <v>1.9489222446322996E-2</v>
      </c>
      <c r="D1086">
        <f t="shared" si="82"/>
        <v>2.0395195644138588E-2</v>
      </c>
      <c r="E1086">
        <f t="shared" si="83"/>
        <v>3.3547111527646209E-2</v>
      </c>
      <c r="F1086">
        <f t="shared" si="84"/>
        <v>4.7446320027388821E-2</v>
      </c>
      <c r="G1086">
        <f t="shared" si="85"/>
        <v>-3.3547111527646209E-2</v>
      </c>
      <c r="H1086">
        <f t="shared" si="86"/>
        <v>-4.7446320027388821E-2</v>
      </c>
    </row>
    <row r="1087" spans="1:8" x14ac:dyDescent="0.2">
      <c r="A1087" s="1">
        <v>45985</v>
      </c>
      <c r="B1087">
        <v>275.66199999999998</v>
      </c>
      <c r="C1087">
        <f t="shared" si="81"/>
        <v>1.6186186935039201E-2</v>
      </c>
      <c r="D1087">
        <f t="shared" si="82"/>
        <v>2.0416086700107337E-2</v>
      </c>
      <c r="E1087">
        <f t="shared" si="83"/>
        <v>3.3581474256827254E-2</v>
      </c>
      <c r="F1087">
        <f t="shared" si="84"/>
        <v>4.7494919891028185E-2</v>
      </c>
      <c r="G1087">
        <f t="shared" si="85"/>
        <v>-3.3581474256827254E-2</v>
      </c>
      <c r="H1087">
        <f t="shared" si="86"/>
        <v>-4.7494919891028185E-2</v>
      </c>
    </row>
    <row r="1088" spans="1:8" x14ac:dyDescent="0.2">
      <c r="A1088" s="1">
        <v>45986</v>
      </c>
      <c r="B1088">
        <v>276.71100000000001</v>
      </c>
      <c r="C1088">
        <f t="shared" si="81"/>
        <v>3.7981626946865989E-3</v>
      </c>
      <c r="D1088">
        <f t="shared" si="82"/>
        <v>2.0402288618461505E-2</v>
      </c>
      <c r="E1088">
        <f t="shared" si="83"/>
        <v>3.3558778432187131E-2</v>
      </c>
      <c r="F1088">
        <f t="shared" si="84"/>
        <v>4.7462820753125565E-2</v>
      </c>
      <c r="G1088">
        <f t="shared" si="85"/>
        <v>-3.3558778432187131E-2</v>
      </c>
      <c r="H1088">
        <f t="shared" si="86"/>
        <v>-4.7462820753125565E-2</v>
      </c>
    </row>
    <row r="1089" spans="1:8" x14ac:dyDescent="0.2">
      <c r="A1089" s="1">
        <v>45987</v>
      </c>
      <c r="B1089">
        <v>277.291</v>
      </c>
      <c r="C1089">
        <f t="shared" si="81"/>
        <v>2.0938560218358897E-3</v>
      </c>
      <c r="D1089">
        <f t="shared" si="82"/>
        <v>2.0395093349395939E-2</v>
      </c>
      <c r="E1089">
        <f t="shared" si="83"/>
        <v>3.3546943267767748E-2</v>
      </c>
      <c r="F1089">
        <f t="shared" si="84"/>
        <v>4.7446082054231731E-2</v>
      </c>
      <c r="G1089">
        <f t="shared" si="85"/>
        <v>-3.3546943267767748E-2</v>
      </c>
      <c r="H1089">
        <f t="shared" si="86"/>
        <v>-4.7446082054231731E-2</v>
      </c>
    </row>
    <row r="1090" spans="1:8" x14ac:dyDescent="0.2">
      <c r="A1090" s="1">
        <v>45989</v>
      </c>
      <c r="B1090">
        <v>278.589</v>
      </c>
      <c r="C1090">
        <f t="shared" si="81"/>
        <v>4.6700811652773452E-3</v>
      </c>
      <c r="D1090">
        <f t="shared" si="82"/>
        <v>2.0396497846849989E-2</v>
      </c>
      <c r="E1090">
        <f t="shared" si="83"/>
        <v>3.3549253460499084E-2</v>
      </c>
      <c r="F1090">
        <f t="shared" si="84"/>
        <v>4.7449349403898056E-2</v>
      </c>
      <c r="G1090">
        <f t="shared" si="85"/>
        <v>-3.3549253460499084E-2</v>
      </c>
      <c r="H1090">
        <f t="shared" si="86"/>
        <v>-4.7449349403898056E-2</v>
      </c>
    </row>
    <row r="1091" spans="1:8" x14ac:dyDescent="0.2">
      <c r="A1091" s="1">
        <v>45992</v>
      </c>
      <c r="B1091">
        <v>282.83499999999998</v>
      </c>
      <c r="C1091">
        <f t="shared" ref="C1091:C1154" si="87">LN(B1091/B1090)</f>
        <v>1.5126111304433606E-2</v>
      </c>
      <c r="D1091">
        <f t="shared" si="82"/>
        <v>2.0408143882995326E-2</v>
      </c>
      <c r="E1091">
        <f t="shared" si="83"/>
        <v>3.3568409485292348E-2</v>
      </c>
      <c r="F1091">
        <f t="shared" si="84"/>
        <v>4.7476442135325765E-2</v>
      </c>
      <c r="G1091">
        <f t="shared" si="85"/>
        <v>-3.3568409485292348E-2</v>
      </c>
      <c r="H1091">
        <f t="shared" si="86"/>
        <v>-4.7476442135325765E-2</v>
      </c>
    </row>
    <row r="1092" spans="1:8" x14ac:dyDescent="0.2">
      <c r="A1092" s="1">
        <v>45993</v>
      </c>
      <c r="B1092">
        <v>285.92200000000003</v>
      </c>
      <c r="C1092">
        <f t="shared" si="87"/>
        <v>1.0855357609555289E-2</v>
      </c>
      <c r="D1092">
        <f t="shared" si="82"/>
        <v>2.0410701323122594E-2</v>
      </c>
      <c r="E1092">
        <f t="shared" si="83"/>
        <v>3.35726160999614E-2</v>
      </c>
      <c r="F1092">
        <f t="shared" si="84"/>
        <v>4.7482391630728822E-2</v>
      </c>
      <c r="G1092">
        <f t="shared" si="85"/>
        <v>-3.35726160999614E-2</v>
      </c>
      <c r="H1092">
        <f t="shared" si="86"/>
        <v>-4.7482391630728822E-2</v>
      </c>
    </row>
    <row r="1093" spans="1:8" x14ac:dyDescent="0.2">
      <c r="A1093" s="1">
        <v>45994</v>
      </c>
      <c r="B1093">
        <v>283.88400000000001</v>
      </c>
      <c r="C1093">
        <f t="shared" si="87"/>
        <v>-7.1533423320088909E-3</v>
      </c>
      <c r="D1093">
        <f t="shared" si="82"/>
        <v>2.0402573806527671E-2</v>
      </c>
      <c r="E1093">
        <f t="shared" si="83"/>
        <v>3.3559247524812132E-2</v>
      </c>
      <c r="F1093">
        <f t="shared" si="84"/>
        <v>4.7463484199776994E-2</v>
      </c>
      <c r="G1093">
        <f t="shared" si="85"/>
        <v>-3.3559247524812132E-2</v>
      </c>
      <c r="H1093">
        <f t="shared" si="86"/>
        <v>-4.7463484199776994E-2</v>
      </c>
    </row>
    <row r="1094" spans="1:8" x14ac:dyDescent="0.2">
      <c r="A1094" s="1">
        <v>45995</v>
      </c>
      <c r="B1094">
        <v>280.43799999999999</v>
      </c>
      <c r="C1094">
        <f t="shared" si="87"/>
        <v>-1.2213037355197996E-2</v>
      </c>
      <c r="D1094">
        <f t="shared" si="82"/>
        <v>2.041871007097119E-2</v>
      </c>
      <c r="E1094">
        <f t="shared" si="83"/>
        <v>3.3585789317907504E-2</v>
      </c>
      <c r="F1094">
        <f t="shared" si="84"/>
        <v>4.7501022764260131E-2</v>
      </c>
      <c r="G1094">
        <f t="shared" si="85"/>
        <v>-3.3585789317907504E-2</v>
      </c>
      <c r="H1094">
        <f t="shared" si="86"/>
        <v>-4.7501022764260131E-2</v>
      </c>
    </row>
    <row r="1095" spans="1:8" x14ac:dyDescent="0.2">
      <c r="A1095" s="1">
        <v>45996</v>
      </c>
      <c r="B1095">
        <v>278.51900000000001</v>
      </c>
      <c r="C1095">
        <f t="shared" si="87"/>
        <v>-6.866387001606163E-3</v>
      </c>
      <c r="D1095">
        <f t="shared" si="82"/>
        <v>2.042414301647668E-2</v>
      </c>
      <c r="E1095">
        <f t="shared" si="83"/>
        <v>3.3594725718027234E-2</v>
      </c>
      <c r="F1095">
        <f t="shared" si="84"/>
        <v>4.7513661685486611E-2</v>
      </c>
      <c r="G1095">
        <f t="shared" si="85"/>
        <v>-3.3594725718027234E-2</v>
      </c>
      <c r="H1095">
        <f t="shared" si="86"/>
        <v>-4.7513661685486611E-2</v>
      </c>
    </row>
    <row r="1096" spans="1:8" x14ac:dyDescent="0.2">
      <c r="A1096" s="1">
        <v>45999</v>
      </c>
      <c r="B1096">
        <v>277.63</v>
      </c>
      <c r="C1096">
        <f t="shared" si="87"/>
        <v>-3.1969877036034039E-3</v>
      </c>
      <c r="D1096">
        <f t="shared" si="82"/>
        <v>2.0425343478493625E-2</v>
      </c>
      <c r="E1096">
        <f t="shared" si="83"/>
        <v>3.3596700302329828E-2</v>
      </c>
      <c r="F1096">
        <f t="shared" si="84"/>
        <v>4.7516454377747597E-2</v>
      </c>
      <c r="G1096">
        <f t="shared" si="85"/>
        <v>-3.3596700302329828E-2</v>
      </c>
      <c r="H1096">
        <f t="shared" si="86"/>
        <v>-4.7516454377747597E-2</v>
      </c>
    </row>
    <row r="1097" spans="1:8" x14ac:dyDescent="0.2">
      <c r="A1097" s="1">
        <v>46000</v>
      </c>
      <c r="B1097">
        <v>276.92099999999999</v>
      </c>
      <c r="C1097">
        <f t="shared" si="87"/>
        <v>-2.5570250033236062E-3</v>
      </c>
      <c r="D1097">
        <f t="shared" si="82"/>
        <v>2.0402783927884392E-2</v>
      </c>
      <c r="E1097">
        <f t="shared" si="83"/>
        <v>3.3559593143687831E-2</v>
      </c>
      <c r="F1097">
        <f t="shared" si="84"/>
        <v>4.7463973015148486E-2</v>
      </c>
      <c r="G1097">
        <f t="shared" si="85"/>
        <v>-3.3559593143687831E-2</v>
      </c>
      <c r="H1097">
        <f t="shared" si="86"/>
        <v>-4.7463973015148486E-2</v>
      </c>
    </row>
    <row r="1098" spans="1:8" x14ac:dyDescent="0.2">
      <c r="A1098" s="1">
        <v>46001</v>
      </c>
      <c r="B1098">
        <v>278.51900000000001</v>
      </c>
      <c r="C1098">
        <f t="shared" si="87"/>
        <v>5.7540127069270735E-3</v>
      </c>
      <c r="D1098">
        <f t="shared" si="82"/>
        <v>2.0404210020398973E-2</v>
      </c>
      <c r="E1098">
        <f t="shared" si="83"/>
        <v>3.3561938857132809E-2</v>
      </c>
      <c r="F1098">
        <f t="shared" si="84"/>
        <v>4.746729060243797E-2</v>
      </c>
      <c r="G1098">
        <f t="shared" si="85"/>
        <v>-3.3561938857132809E-2</v>
      </c>
      <c r="H1098">
        <f t="shared" si="86"/>
        <v>-4.746729060243797E-2</v>
      </c>
    </row>
    <row r="1099" spans="1:8" x14ac:dyDescent="0.2">
      <c r="A1099" s="1">
        <v>46002</v>
      </c>
      <c r="B1099">
        <v>277.77</v>
      </c>
      <c r="C1099">
        <f t="shared" si="87"/>
        <v>-2.6928465334010638E-3</v>
      </c>
      <c r="D1099">
        <f t="shared" si="82"/>
        <v>2.0402041516597587E-2</v>
      </c>
      <c r="E1099">
        <f t="shared" si="83"/>
        <v>3.3558371985790043E-2</v>
      </c>
      <c r="F1099">
        <f t="shared" si="84"/>
        <v>4.7462245908229769E-2</v>
      </c>
      <c r="G1099">
        <f t="shared" si="85"/>
        <v>-3.3558371985790043E-2</v>
      </c>
      <c r="H1099">
        <f t="shared" si="86"/>
        <v>-4.7462245908229769E-2</v>
      </c>
    </row>
    <row r="1100" spans="1:8" x14ac:dyDescent="0.2">
      <c r="A1100" s="1">
        <v>46003</v>
      </c>
      <c r="B1100">
        <v>278.02</v>
      </c>
      <c r="C1100">
        <f t="shared" si="87"/>
        <v>8.9962042088118045E-4</v>
      </c>
      <c r="D1100">
        <f t="shared" si="82"/>
        <v>2.0399123235159779E-2</v>
      </c>
      <c r="E1100">
        <f t="shared" si="83"/>
        <v>3.3553571839982595E-2</v>
      </c>
      <c r="F1100">
        <f t="shared" si="84"/>
        <v>4.7455456970411071E-2</v>
      </c>
      <c r="G1100">
        <f t="shared" si="85"/>
        <v>-3.3553571839982595E-2</v>
      </c>
      <c r="H1100">
        <f t="shared" si="86"/>
        <v>-4.7455456970411071E-2</v>
      </c>
    </row>
    <row r="1101" spans="1:8" x14ac:dyDescent="0.2">
      <c r="A1101" s="1">
        <v>46006</v>
      </c>
      <c r="B1101">
        <v>273.85399999999998</v>
      </c>
      <c r="C1101">
        <f t="shared" si="87"/>
        <v>-1.5097935889465607E-2</v>
      </c>
      <c r="D1101">
        <f t="shared" si="82"/>
        <v>2.0422893908538412E-2</v>
      </c>
      <c r="E1101">
        <f t="shared" si="83"/>
        <v>3.3592671118304523E-2</v>
      </c>
      <c r="F1101">
        <f t="shared" si="84"/>
        <v>4.7510755825889969E-2</v>
      </c>
      <c r="G1101">
        <f t="shared" si="85"/>
        <v>-3.3592671118304523E-2</v>
      </c>
      <c r="H1101">
        <f t="shared" si="86"/>
        <v>-4.7510755825889969E-2</v>
      </c>
    </row>
    <row r="1102" spans="1:8" x14ac:dyDescent="0.2">
      <c r="A1102" s="1">
        <v>46007</v>
      </c>
      <c r="B1102">
        <v>274.35300000000001</v>
      </c>
      <c r="C1102">
        <f t="shared" si="87"/>
        <v>1.8204807228417211E-3</v>
      </c>
      <c r="D1102">
        <f t="shared" si="82"/>
        <v>2.0410609971830931E-2</v>
      </c>
      <c r="E1102">
        <f t="shared" si="83"/>
        <v>3.3572465840457977E-2</v>
      </c>
      <c r="F1102">
        <f t="shared" si="84"/>
        <v>4.7482179115845673E-2</v>
      </c>
      <c r="G1102">
        <f t="shared" si="85"/>
        <v>-3.3572465840457977E-2</v>
      </c>
      <c r="H1102">
        <f t="shared" si="86"/>
        <v>-4.7482179115845673E-2</v>
      </c>
    </row>
    <row r="1103" spans="1:8" x14ac:dyDescent="0.2">
      <c r="A1103" s="1">
        <v>46008</v>
      </c>
      <c r="B1103">
        <v>271.58600000000001</v>
      </c>
      <c r="C1103">
        <f t="shared" si="87"/>
        <v>-1.0136750418094944E-2</v>
      </c>
      <c r="D1103">
        <f t="shared" si="82"/>
        <v>2.0412834844772659E-2</v>
      </c>
      <c r="E1103">
        <f t="shared" si="83"/>
        <v>3.357612543078569E-2</v>
      </c>
      <c r="F1103">
        <f t="shared" si="84"/>
        <v>4.7487354944283675E-2</v>
      </c>
      <c r="G1103">
        <f t="shared" si="85"/>
        <v>-3.357612543078569E-2</v>
      </c>
      <c r="H1103">
        <f t="shared" si="86"/>
        <v>-4.7487354944283675E-2</v>
      </c>
    </row>
    <row r="1104" spans="1:8" x14ac:dyDescent="0.2">
      <c r="A1104" s="1">
        <v>46009</v>
      </c>
      <c r="B1104">
        <v>271.93599999999998</v>
      </c>
      <c r="C1104">
        <f t="shared" si="87"/>
        <v>1.2878965281186326E-3</v>
      </c>
      <c r="D1104">
        <f t="shared" si="82"/>
        <v>2.0365289184487399E-2</v>
      </c>
      <c r="E1104">
        <f t="shared" si="83"/>
        <v>3.3497919779019676E-2</v>
      </c>
      <c r="F1104">
        <f t="shared" si="84"/>
        <v>4.7376747198559187E-2</v>
      </c>
      <c r="G1104">
        <f t="shared" si="85"/>
        <v>-3.3497919779019676E-2</v>
      </c>
      <c r="H1104">
        <f t="shared" si="86"/>
        <v>-4.7376747198559187E-2</v>
      </c>
    </row>
    <row r="1105" spans="1:8" x14ac:dyDescent="0.2">
      <c r="A1105" s="1">
        <v>46010</v>
      </c>
      <c r="B1105">
        <v>273.41399999999999</v>
      </c>
      <c r="C1105">
        <f t="shared" si="87"/>
        <v>5.4203855091453125E-3</v>
      </c>
      <c r="D1105">
        <f t="shared" si="82"/>
        <v>2.0363485359560632E-2</v>
      </c>
      <c r="E1105">
        <f t="shared" si="83"/>
        <v>3.3494952751046497E-2</v>
      </c>
      <c r="F1105">
        <f t="shared" si="84"/>
        <v>4.7372550874275665E-2</v>
      </c>
      <c r="G1105">
        <f t="shared" si="85"/>
        <v>-3.3494952751046497E-2</v>
      </c>
      <c r="H1105">
        <f t="shared" si="86"/>
        <v>-4.7372550874275665E-2</v>
      </c>
    </row>
    <row r="1106" spans="1:8" x14ac:dyDescent="0.2">
      <c r="A1106" s="1">
        <v>46013</v>
      </c>
      <c r="B1106">
        <v>270.71699999999998</v>
      </c>
      <c r="C1106">
        <f t="shared" si="87"/>
        <v>-9.9131352053179068E-3</v>
      </c>
      <c r="D1106">
        <f t="shared" si="82"/>
        <v>2.0340755486550444E-2</v>
      </c>
      <c r="E1106">
        <f t="shared" si="83"/>
        <v>3.345756543698554E-2</v>
      </c>
      <c r="F1106">
        <f t="shared" si="84"/>
        <v>4.7319673282521194E-2</v>
      </c>
      <c r="G1106">
        <f t="shared" si="85"/>
        <v>-3.345756543698554E-2</v>
      </c>
      <c r="H1106">
        <f t="shared" si="86"/>
        <v>-4.7319673282521194E-2</v>
      </c>
    </row>
    <row r="1107" spans="1:8" x14ac:dyDescent="0.2">
      <c r="A1107" s="1">
        <v>46014</v>
      </c>
      <c r="B1107">
        <v>272.10500000000002</v>
      </c>
      <c r="C1107">
        <f t="shared" si="87"/>
        <v>5.1140264214046211E-3</v>
      </c>
      <c r="D1107">
        <f t="shared" si="82"/>
        <v>2.0342301457827235E-2</v>
      </c>
      <c r="E1107">
        <f t="shared" si="83"/>
        <v>3.3460108333447335E-2</v>
      </c>
      <c r="F1107">
        <f t="shared" si="84"/>
        <v>4.7323269749514285E-2</v>
      </c>
      <c r="G1107">
        <f t="shared" si="85"/>
        <v>-3.3460108333447335E-2</v>
      </c>
      <c r="H1107">
        <f t="shared" si="86"/>
        <v>-4.7323269749514285E-2</v>
      </c>
    </row>
    <row r="1108" spans="1:8" x14ac:dyDescent="0.2">
      <c r="A1108" s="1">
        <v>46015</v>
      </c>
      <c r="B1108">
        <v>273.55399999999997</v>
      </c>
      <c r="C1108">
        <f t="shared" si="87"/>
        <v>5.3110217406395314E-3</v>
      </c>
      <c r="D1108">
        <f t="shared" si="82"/>
        <v>2.0332546300807611E-2</v>
      </c>
      <c r="E1108">
        <f t="shared" si="83"/>
        <v>3.3444062528042127E-2</v>
      </c>
      <c r="F1108">
        <f t="shared" si="84"/>
        <v>4.7300575860720749E-2</v>
      </c>
      <c r="G1108">
        <f t="shared" si="85"/>
        <v>-3.3444062528042127E-2</v>
      </c>
      <c r="H1108">
        <f t="shared" si="86"/>
        <v>-4.7300575860720749E-2</v>
      </c>
    </row>
    <row r="1109" spans="1:8" x14ac:dyDescent="0.2">
      <c r="A1109" s="1">
        <v>46017</v>
      </c>
      <c r="B1109">
        <v>273.14400000000001</v>
      </c>
      <c r="C1109">
        <f t="shared" si="87"/>
        <v>-1.4999143105194274E-3</v>
      </c>
      <c r="D1109">
        <f t="shared" si="82"/>
        <v>2.0331999177464526E-2</v>
      </c>
      <c r="E1109">
        <f t="shared" si="83"/>
        <v>3.3443162590226859E-2</v>
      </c>
      <c r="F1109">
        <f t="shared" si="84"/>
        <v>4.729930306149472E-2</v>
      </c>
      <c r="G1109">
        <f t="shared" si="85"/>
        <v>-3.3443162590226859E-2</v>
      </c>
      <c r="H1109">
        <f t="shared" si="86"/>
        <v>-4.729930306149472E-2</v>
      </c>
    </row>
    <row r="1110" spans="1:8" x14ac:dyDescent="0.2">
      <c r="A1110" s="1">
        <v>46020</v>
      </c>
      <c r="B1110">
        <v>273.50400000000002</v>
      </c>
      <c r="C1110">
        <f t="shared" si="87"/>
        <v>1.3171183359092151E-3</v>
      </c>
      <c r="D1110">
        <f t="shared" si="82"/>
        <v>2.0313842719878412E-2</v>
      </c>
      <c r="E1110">
        <f t="shared" si="83"/>
        <v>3.3413297875113754E-2</v>
      </c>
      <c r="F1110">
        <f t="shared" si="84"/>
        <v>4.7257064824989155E-2</v>
      </c>
      <c r="G1110">
        <f t="shared" si="85"/>
        <v>-3.3413297875113754E-2</v>
      </c>
      <c r="H1110">
        <f t="shared" si="86"/>
        <v>-4.7257064824989155E-2</v>
      </c>
    </row>
    <row r="1111" spans="1:8" x14ac:dyDescent="0.2">
      <c r="A1111" s="1">
        <v>46021</v>
      </c>
      <c r="B1111">
        <v>272.82499999999999</v>
      </c>
      <c r="C1111">
        <f t="shared" si="87"/>
        <v>-2.4856829844541162E-3</v>
      </c>
      <c r="D1111">
        <f t="shared" si="82"/>
        <v>2.0296153253755635E-2</v>
      </c>
      <c r="E1111">
        <f t="shared" si="83"/>
        <v>3.3384201292602868E-2</v>
      </c>
      <c r="F1111">
        <f t="shared" si="84"/>
        <v>4.7215912973081517E-2</v>
      </c>
      <c r="G1111">
        <f t="shared" si="85"/>
        <v>-3.3384201292602868E-2</v>
      </c>
      <c r="H1111">
        <f t="shared" si="86"/>
        <v>-4.7215912973081517E-2</v>
      </c>
    </row>
    <row r="1112" spans="1:8" x14ac:dyDescent="0.2">
      <c r="A1112" s="1">
        <v>46022</v>
      </c>
      <c r="B1112">
        <v>271.60599999999999</v>
      </c>
      <c r="C1112">
        <f t="shared" si="87"/>
        <v>-4.4780772478707773E-3</v>
      </c>
      <c r="D1112">
        <f t="shared" si="82"/>
        <v>2.0292993646685888E-2</v>
      </c>
      <c r="E1112">
        <f t="shared" si="83"/>
        <v>3.3379004201454454E-2</v>
      </c>
      <c r="F1112">
        <f t="shared" si="84"/>
        <v>4.7208562627892005E-2</v>
      </c>
      <c r="G1112">
        <f t="shared" si="85"/>
        <v>-3.3379004201454454E-2</v>
      </c>
      <c r="H1112">
        <f t="shared" si="86"/>
        <v>-4.7208562627892005E-2</v>
      </c>
    </row>
    <row r="1113" spans="1:8" x14ac:dyDescent="0.2">
      <c r="A1113" s="1">
        <v>46024</v>
      </c>
      <c r="B1113">
        <v>270.75700000000001</v>
      </c>
      <c r="C1113">
        <f t="shared" si="87"/>
        <v>-3.1307470954378869E-3</v>
      </c>
      <c r="D1113">
        <f t="shared" si="82"/>
        <v>2.0222077211730548E-2</v>
      </c>
      <c r="E1113">
        <f t="shared" si="83"/>
        <v>3.326235704620769E-2</v>
      </c>
      <c r="F1113">
        <f t="shared" si="84"/>
        <v>4.7043586330199096E-2</v>
      </c>
      <c r="G1113">
        <f t="shared" si="85"/>
        <v>-3.326235704620769E-2</v>
      </c>
      <c r="H1113">
        <f t="shared" si="86"/>
        <v>-4.7043586330199096E-2</v>
      </c>
    </row>
    <row r="1114" spans="1:8" x14ac:dyDescent="0.2">
      <c r="A1114" s="1">
        <v>46027</v>
      </c>
      <c r="B1114">
        <v>267.01</v>
      </c>
      <c r="C1114">
        <f t="shared" si="87"/>
        <v>-1.393562877342772E-2</v>
      </c>
      <c r="D1114">
        <f t="shared" si="82"/>
        <v>2.0241938978892125E-2</v>
      </c>
      <c r="E1114">
        <f t="shared" si="83"/>
        <v>3.3295026745961076E-2</v>
      </c>
      <c r="F1114">
        <f t="shared" si="84"/>
        <v>4.7089791710010119E-2</v>
      </c>
      <c r="G1114">
        <f t="shared" si="85"/>
        <v>-3.3295026745961076E-2</v>
      </c>
      <c r="H1114">
        <f t="shared" si="86"/>
        <v>-4.7089791710010119E-2</v>
      </c>
    </row>
    <row r="1115" spans="1:8" x14ac:dyDescent="0.2">
      <c r="A1115" s="1">
        <v>46028</v>
      </c>
      <c r="B1115">
        <v>262.11500000000001</v>
      </c>
      <c r="C1115">
        <f t="shared" si="87"/>
        <v>-1.8502772125773389E-2</v>
      </c>
      <c r="D1115">
        <f t="shared" si="82"/>
        <v>2.0273120425969567E-2</v>
      </c>
      <c r="E1115">
        <f t="shared" si="83"/>
        <v>3.3346315662280003E-2</v>
      </c>
      <c r="F1115">
        <f t="shared" si="84"/>
        <v>4.7162330603128244E-2</v>
      </c>
      <c r="G1115">
        <f t="shared" si="85"/>
        <v>-3.3346315662280003E-2</v>
      </c>
      <c r="H1115">
        <f t="shared" si="86"/>
        <v>-4.7162330603128244E-2</v>
      </c>
    </row>
    <row r="1116" spans="1:8" x14ac:dyDescent="0.2">
      <c r="A1116" s="1">
        <v>46029</v>
      </c>
      <c r="B1116">
        <v>260.08699999999999</v>
      </c>
      <c r="C1116">
        <f t="shared" si="87"/>
        <v>-7.7671483277429393E-3</v>
      </c>
      <c r="D1116">
        <f t="shared" si="82"/>
        <v>2.0265882001150672E-2</v>
      </c>
      <c r="E1116">
        <f t="shared" si="83"/>
        <v>3.333440951296323E-2</v>
      </c>
      <c r="F1116">
        <f t="shared" si="84"/>
        <v>4.7145491508939409E-2</v>
      </c>
      <c r="G1116">
        <f t="shared" si="85"/>
        <v>-3.333440951296323E-2</v>
      </c>
      <c r="H1116">
        <f t="shared" si="86"/>
        <v>-4.7145491508939409E-2</v>
      </c>
    </row>
    <row r="1117" spans="1:8" x14ac:dyDescent="0.2">
      <c r="A1117" s="1">
        <v>46030</v>
      </c>
      <c r="B1117">
        <v>258.798</v>
      </c>
      <c r="C1117">
        <f t="shared" si="87"/>
        <v>-4.9683558072867538E-3</v>
      </c>
      <c r="D1117">
        <f t="shared" si="82"/>
        <v>2.0268327409596585E-2</v>
      </c>
      <c r="E1117">
        <f t="shared" si="83"/>
        <v>3.3338431851914867E-2</v>
      </c>
      <c r="F1117">
        <f t="shared" si="84"/>
        <v>4.715118037967872E-2</v>
      </c>
      <c r="G1117">
        <f t="shared" si="85"/>
        <v>-3.3338431851914867E-2</v>
      </c>
      <c r="H1117">
        <f t="shared" si="86"/>
        <v>-4.715118037967872E-2</v>
      </c>
    </row>
    <row r="1118" spans="1:8" x14ac:dyDescent="0.2">
      <c r="A1118" s="1">
        <v>46031</v>
      </c>
      <c r="B1118">
        <v>259.12799999999999</v>
      </c>
      <c r="C1118">
        <f t="shared" si="87"/>
        <v>1.2743134913349257E-3</v>
      </c>
      <c r="D1118">
        <f t="shared" si="82"/>
        <v>2.0207723533714875E-2</v>
      </c>
      <c r="E1118">
        <f t="shared" si="83"/>
        <v>3.3238747346863516E-2</v>
      </c>
      <c r="F1118">
        <f t="shared" si="84"/>
        <v>4.7010194681862662E-2</v>
      </c>
      <c r="G1118">
        <f t="shared" si="85"/>
        <v>-3.3238747346863516E-2</v>
      </c>
      <c r="H1118">
        <f t="shared" si="86"/>
        <v>-4.7010194681862662E-2</v>
      </c>
    </row>
    <row r="1119" spans="1:8" x14ac:dyDescent="0.2">
      <c r="A1119" s="1">
        <v>46034</v>
      </c>
      <c r="B1119">
        <v>260.00700000000001</v>
      </c>
      <c r="C1119">
        <f t="shared" si="87"/>
        <v>3.3864056170824532E-3</v>
      </c>
      <c r="D1119">
        <f t="shared" si="82"/>
        <v>2.0197002663612865E-2</v>
      </c>
      <c r="E1119">
        <f t="shared" si="83"/>
        <v>3.3221113084792149E-2</v>
      </c>
      <c r="F1119">
        <f t="shared" si="84"/>
        <v>4.6985254208492984E-2</v>
      </c>
      <c r="G1119">
        <f t="shared" si="85"/>
        <v>-3.3221113084792149E-2</v>
      </c>
      <c r="H1119">
        <f t="shared" si="86"/>
        <v>-4.6985254208492984E-2</v>
      </c>
    </row>
    <row r="1120" spans="1:8" x14ac:dyDescent="0.2">
      <c r="A1120" s="1">
        <v>46035</v>
      </c>
      <c r="B1120">
        <v>260.80599999999998</v>
      </c>
      <c r="C1120">
        <f t="shared" si="87"/>
        <v>3.0682821927987135E-3</v>
      </c>
      <c r="D1120">
        <f t="shared" si="82"/>
        <v>2.0194950813801828E-2</v>
      </c>
      <c r="E1120">
        <f t="shared" si="83"/>
        <v>3.321773809218851E-2</v>
      </c>
      <c r="F1120">
        <f t="shared" si="84"/>
        <v>4.6980480892047226E-2</v>
      </c>
      <c r="G1120">
        <f t="shared" si="85"/>
        <v>-3.321773809218851E-2</v>
      </c>
      <c r="H1120">
        <f t="shared" si="86"/>
        <v>-4.6980480892047226E-2</v>
      </c>
    </row>
    <row r="1121" spans="1:8" x14ac:dyDescent="0.2">
      <c r="A1121" s="1">
        <v>46036</v>
      </c>
      <c r="B1121">
        <v>259.71699999999998</v>
      </c>
      <c r="C1121">
        <f t="shared" si="87"/>
        <v>-4.1842592502265383E-3</v>
      </c>
      <c r="D1121">
        <f t="shared" si="82"/>
        <v>2.0160893352981046E-2</v>
      </c>
      <c r="E1121">
        <f t="shared" si="83"/>
        <v>3.3161718554232687E-2</v>
      </c>
      <c r="F1121">
        <f t="shared" si="84"/>
        <v>4.6901251390471577E-2</v>
      </c>
      <c r="G1121">
        <f t="shared" si="85"/>
        <v>-3.3161718554232687E-2</v>
      </c>
      <c r="H1121">
        <f t="shared" si="86"/>
        <v>-4.6901251390471577E-2</v>
      </c>
    </row>
    <row r="1122" spans="1:8" x14ac:dyDescent="0.2">
      <c r="A1122" s="1">
        <v>46037</v>
      </c>
      <c r="B1122">
        <v>257.96899999999999</v>
      </c>
      <c r="C1122">
        <f t="shared" si="87"/>
        <v>-6.7531540089407396E-3</v>
      </c>
      <c r="D1122">
        <f t="shared" si="82"/>
        <v>1.999229989443543E-2</v>
      </c>
      <c r="E1122">
        <f t="shared" si="83"/>
        <v>3.2884406992463637E-2</v>
      </c>
      <c r="F1122">
        <f t="shared" si="84"/>
        <v>4.6509044356606785E-2</v>
      </c>
      <c r="G1122">
        <f t="shared" si="85"/>
        <v>-3.2884406992463637E-2</v>
      </c>
      <c r="H1122">
        <f t="shared" si="86"/>
        <v>-4.6509044356606785E-2</v>
      </c>
    </row>
    <row r="1123" spans="1:8" x14ac:dyDescent="0.2">
      <c r="A1123" s="1">
        <v>46038</v>
      </c>
      <c r="B1123">
        <v>255.291</v>
      </c>
      <c r="C1123">
        <f t="shared" si="87"/>
        <v>-1.0435351681561974E-2</v>
      </c>
      <c r="D1123">
        <f t="shared" si="82"/>
        <v>1.9999293185310883E-2</v>
      </c>
      <c r="E1123">
        <f t="shared" si="83"/>
        <v>3.2895909932324455E-2</v>
      </c>
      <c r="F1123">
        <f t="shared" si="84"/>
        <v>4.6525313183967444E-2</v>
      </c>
      <c r="G1123">
        <f t="shared" si="85"/>
        <v>-3.2895909932324455E-2</v>
      </c>
      <c r="H1123">
        <f t="shared" si="86"/>
        <v>-4.6525313183967444E-2</v>
      </c>
    </row>
    <row r="1124" spans="1:8" x14ac:dyDescent="0.2">
      <c r="A1124" s="1">
        <v>46042</v>
      </c>
      <c r="B1124">
        <v>246.46899999999999</v>
      </c>
      <c r="C1124">
        <f t="shared" si="87"/>
        <v>-3.5167846056976683E-2</v>
      </c>
      <c r="D1124">
        <f t="shared" si="82"/>
        <v>2.0018067213701134E-2</v>
      </c>
      <c r="E1124">
        <f t="shared" si="83"/>
        <v>3.2926790461014648E-2</v>
      </c>
      <c r="F1124">
        <f t="shared" si="84"/>
        <v>4.6568988105000292E-2</v>
      </c>
      <c r="G1124">
        <f t="shared" si="85"/>
        <v>-3.2926790461014648E-2</v>
      </c>
      <c r="H1124">
        <f t="shared" si="86"/>
        <v>-4.6568988105000292E-2</v>
      </c>
    </row>
    <row r="1125" spans="1:8" x14ac:dyDescent="0.2">
      <c r="A1125" s="1">
        <v>46043</v>
      </c>
      <c r="B1125">
        <v>247.41800000000001</v>
      </c>
      <c r="C1125">
        <f t="shared" si="87"/>
        <v>3.8429890559868491E-3</v>
      </c>
      <c r="D1125">
        <f t="shared" si="82"/>
        <v>2.001682307634154E-2</v>
      </c>
      <c r="E1125">
        <f t="shared" si="83"/>
        <v>3.2924744037166297E-2</v>
      </c>
      <c r="F1125">
        <f t="shared" si="84"/>
        <v>4.6566093808698784E-2</v>
      </c>
      <c r="G1125">
        <f t="shared" si="85"/>
        <v>-3.2924744037166297E-2</v>
      </c>
      <c r="H1125">
        <f t="shared" si="86"/>
        <v>-4.6566093808698784E-2</v>
      </c>
    </row>
    <row r="1126" spans="1:8" x14ac:dyDescent="0.2">
      <c r="A1126" s="1">
        <v>46044</v>
      </c>
      <c r="B1126">
        <v>248.11799999999999</v>
      </c>
      <c r="C1126">
        <f t="shared" si="87"/>
        <v>2.8252254754879353E-3</v>
      </c>
      <c r="D1126">
        <f t="shared" si="82"/>
        <v>2.0017255788108791E-2</v>
      </c>
      <c r="E1126">
        <f t="shared" si="83"/>
        <v>3.2925455784686079E-2</v>
      </c>
      <c r="F1126">
        <f t="shared" si="84"/>
        <v>4.6567100446798598E-2</v>
      </c>
      <c r="G1126">
        <f t="shared" si="85"/>
        <v>-3.2925455784686079E-2</v>
      </c>
      <c r="H1126">
        <f t="shared" si="86"/>
        <v>-4.6567100446798598E-2</v>
      </c>
    </row>
    <row r="1127" spans="1:8" x14ac:dyDescent="0.2">
      <c r="A1127" s="1">
        <v>46045</v>
      </c>
      <c r="B1127">
        <v>247.80799999999999</v>
      </c>
      <c r="C1127">
        <f t="shared" si="87"/>
        <v>-1.2501866825963114E-3</v>
      </c>
      <c r="D1127">
        <f t="shared" si="82"/>
        <v>2.0015619371419907E-2</v>
      </c>
      <c r="E1127">
        <f t="shared" si="83"/>
        <v>3.2922764118760169E-2</v>
      </c>
      <c r="F1127">
        <f t="shared" si="84"/>
        <v>4.6563293572313369E-2</v>
      </c>
      <c r="G1127">
        <f t="shared" si="85"/>
        <v>-3.2922764118760169E-2</v>
      </c>
      <c r="H1127">
        <f t="shared" si="86"/>
        <v>-4.6563293572313369E-2</v>
      </c>
    </row>
    <row r="1128" spans="1:8" x14ac:dyDescent="0.2">
      <c r="A1128" s="1">
        <v>46048</v>
      </c>
      <c r="B1128">
        <v>255.17099999999999</v>
      </c>
      <c r="C1128">
        <f t="shared" si="87"/>
        <v>2.9279655875895209E-2</v>
      </c>
      <c r="D1128">
        <f t="shared" si="82"/>
        <v>2.0003620232030703E-2</v>
      </c>
      <c r="E1128">
        <f t="shared" si="83"/>
        <v>3.290302729081554E-2</v>
      </c>
      <c r="F1128">
        <f t="shared" si="84"/>
        <v>4.6535379399904979E-2</v>
      </c>
      <c r="G1128">
        <f t="shared" si="85"/>
        <v>-3.290302729081554E-2</v>
      </c>
      <c r="H1128">
        <f t="shared" si="86"/>
        <v>-4.6535379399904979E-2</v>
      </c>
    </row>
    <row r="1129" spans="1:8" x14ac:dyDescent="0.2">
      <c r="A1129" s="1">
        <v>46049</v>
      </c>
      <c r="B1129">
        <v>258.029</v>
      </c>
      <c r="C1129">
        <f t="shared" si="87"/>
        <v>1.1138073055739712E-2</v>
      </c>
      <c r="D1129">
        <f t="shared" si="82"/>
        <v>1.9888372986533918E-2</v>
      </c>
      <c r="E1129">
        <f t="shared" si="83"/>
        <v>3.2713462441063983E-2</v>
      </c>
      <c r="F1129">
        <f t="shared" si="84"/>
        <v>4.6267274215354467E-2</v>
      </c>
      <c r="G1129">
        <f t="shared" si="85"/>
        <v>-3.2713462441063983E-2</v>
      </c>
      <c r="H1129">
        <f t="shared" si="86"/>
        <v>-4.6267274215354467E-2</v>
      </c>
    </row>
    <row r="1130" spans="1:8" x14ac:dyDescent="0.2">
      <c r="A1130" s="1">
        <v>46050</v>
      </c>
      <c r="B1130">
        <v>256.2</v>
      </c>
      <c r="C1130">
        <f t="shared" si="87"/>
        <v>-7.1135922430035671E-3</v>
      </c>
      <c r="D1130">
        <f t="shared" si="82"/>
        <v>1.9892090382768707E-2</v>
      </c>
      <c r="E1130">
        <f t="shared" si="83"/>
        <v>3.2719577013743596E-2</v>
      </c>
      <c r="F1130">
        <f t="shared" si="84"/>
        <v>4.6275922172182238E-2</v>
      </c>
      <c r="G1130">
        <f t="shared" si="85"/>
        <v>-3.2719577013743596E-2</v>
      </c>
      <c r="H1130">
        <f t="shared" si="86"/>
        <v>-4.6275922172182238E-2</v>
      </c>
    </row>
    <row r="1131" spans="1:8" x14ac:dyDescent="0.2">
      <c r="A1131" s="1">
        <v>46051</v>
      </c>
      <c r="B1131">
        <v>258.03899999999999</v>
      </c>
      <c r="C1131">
        <f t="shared" si="87"/>
        <v>7.1523468257378049E-3</v>
      </c>
      <c r="D1131">
        <f t="shared" si="82"/>
        <v>1.9890745688289385E-2</v>
      </c>
      <c r="E1131">
        <f t="shared" si="83"/>
        <v>3.2717365188152138E-2</v>
      </c>
      <c r="F1131">
        <f t="shared" si="84"/>
        <v>4.6272793945039033E-2</v>
      </c>
      <c r="G1131">
        <f t="shared" si="85"/>
        <v>-3.2717365188152138E-2</v>
      </c>
      <c r="H1131">
        <f t="shared" si="86"/>
        <v>-4.6272793945039033E-2</v>
      </c>
    </row>
    <row r="1132" spans="1:8" x14ac:dyDescent="0.2">
      <c r="A1132" s="1">
        <v>46052</v>
      </c>
      <c r="B1132">
        <v>259.23700000000002</v>
      </c>
      <c r="C1132">
        <f t="shared" si="87"/>
        <v>4.6319649159572282E-3</v>
      </c>
      <c r="D1132">
        <f t="shared" si="82"/>
        <v>1.9887497259337635E-2</v>
      </c>
      <c r="E1132">
        <f t="shared" si="83"/>
        <v>3.2712021998008961E-2</v>
      </c>
      <c r="F1132">
        <f t="shared" si="84"/>
        <v>4.6265236969253158E-2</v>
      </c>
      <c r="G1132">
        <f t="shared" si="85"/>
        <v>-3.2712021998008961E-2</v>
      </c>
      <c r="H1132">
        <f t="shared" si="86"/>
        <v>-4.6265236969253158E-2</v>
      </c>
    </row>
    <row r="1133" spans="1:8" x14ac:dyDescent="0.2">
      <c r="A1133" s="1">
        <v>46055</v>
      </c>
      <c r="B1133">
        <v>269.75799999999998</v>
      </c>
      <c r="C1133">
        <f t="shared" si="87"/>
        <v>3.9782559584050539E-2</v>
      </c>
      <c r="D1133">
        <f t="shared" si="82"/>
        <v>1.9919360408414747E-2</v>
      </c>
      <c r="E1133">
        <f t="shared" si="83"/>
        <v>3.2764432214334539E-2</v>
      </c>
      <c r="F1133">
        <f t="shared" si="84"/>
        <v>4.6339361738368938E-2</v>
      </c>
      <c r="G1133">
        <f t="shared" si="85"/>
        <v>-3.2764432214334539E-2</v>
      </c>
      <c r="H1133">
        <f t="shared" si="86"/>
        <v>-4.6339361738368938E-2</v>
      </c>
    </row>
    <row r="1134" spans="1:8" x14ac:dyDescent="0.2">
      <c r="A1134" s="1">
        <v>46056</v>
      </c>
      <c r="B1134">
        <v>269.22800000000001</v>
      </c>
      <c r="C1134">
        <f t="shared" si="87"/>
        <v>-1.9666565395948976E-3</v>
      </c>
      <c r="D1134">
        <f t="shared" si="82"/>
        <v>1.9879148929093569E-2</v>
      </c>
      <c r="E1134">
        <f t="shared" si="83"/>
        <v>3.2698290216728015E-2</v>
      </c>
      <c r="F1134">
        <f t="shared" si="84"/>
        <v>4.6245815848938082E-2</v>
      </c>
      <c r="G1134">
        <f t="shared" si="85"/>
        <v>-3.2698290216728015E-2</v>
      </c>
      <c r="H1134">
        <f t="shared" si="86"/>
        <v>-4.6245815848938082E-2</v>
      </c>
    </row>
    <row r="1135" spans="1:8" x14ac:dyDescent="0.2">
      <c r="A1135" s="1">
        <v>46057</v>
      </c>
      <c r="B1135">
        <v>276.23200000000003</v>
      </c>
      <c r="C1135">
        <f t="shared" si="87"/>
        <v>2.56824880892388E-2</v>
      </c>
      <c r="D1135">
        <f t="shared" si="82"/>
        <v>1.9941877295223436E-2</v>
      </c>
      <c r="E1135">
        <f t="shared" si="83"/>
        <v>3.2801469197269471E-2</v>
      </c>
      <c r="F1135">
        <f t="shared" si="84"/>
        <v>4.639174385012635E-2</v>
      </c>
      <c r="G1135">
        <f t="shared" si="85"/>
        <v>-3.2801469197269471E-2</v>
      </c>
      <c r="H1135">
        <f t="shared" si="86"/>
        <v>-4.639174385012635E-2</v>
      </c>
    </row>
    <row r="1136" spans="1:8" x14ac:dyDescent="0.2">
      <c r="A1136" s="1">
        <v>46058</v>
      </c>
      <c r="B1136">
        <v>275.65199999999999</v>
      </c>
      <c r="C1136">
        <f t="shared" si="87"/>
        <v>-2.1018917509266826E-3</v>
      </c>
      <c r="D1136">
        <f t="shared" si="82"/>
        <v>1.9942030994643176E-2</v>
      </c>
      <c r="E1136">
        <f t="shared" si="83"/>
        <v>3.2801722010317488E-2</v>
      </c>
      <c r="F1136">
        <f t="shared" si="84"/>
        <v>4.6392101408444707E-2</v>
      </c>
      <c r="G1136">
        <f t="shared" si="85"/>
        <v>-3.2801722010317488E-2</v>
      </c>
      <c r="H1136">
        <f t="shared" si="86"/>
        <v>-4.6392101408444707E-2</v>
      </c>
    </row>
    <row r="1137" spans="1:8" x14ac:dyDescent="0.2">
      <c r="A1137" s="1">
        <v>46059</v>
      </c>
      <c r="B1137">
        <v>277.86</v>
      </c>
      <c r="C1137">
        <f t="shared" si="87"/>
        <v>7.9781891336192772E-3</v>
      </c>
      <c r="D1137">
        <f t="shared" si="82"/>
        <v>1.988418063515713E-2</v>
      </c>
      <c r="E1137">
        <f t="shared" si="83"/>
        <v>3.2706566636696417E-2</v>
      </c>
      <c r="F1137">
        <f t="shared" si="84"/>
        <v>4.6257521347641842E-2</v>
      </c>
      <c r="G1137">
        <f t="shared" si="85"/>
        <v>-3.2706566636696417E-2</v>
      </c>
      <c r="H1137">
        <f t="shared" si="86"/>
        <v>-4.6257521347641842E-2</v>
      </c>
    </row>
    <row r="1138" spans="1:8" x14ac:dyDescent="0.2">
      <c r="A1138" s="1">
        <v>46062</v>
      </c>
      <c r="B1138">
        <v>274.62</v>
      </c>
      <c r="C1138">
        <f t="shared" si="87"/>
        <v>-1.1729065827109895E-2</v>
      </c>
      <c r="D1138">
        <f t="shared" si="82"/>
        <v>1.9899994942002366E-2</v>
      </c>
      <c r="E1138">
        <f t="shared" si="83"/>
        <v>3.2732578856668526E-2</v>
      </c>
      <c r="F1138">
        <f t="shared" si="84"/>
        <v>4.6294310926750688E-2</v>
      </c>
      <c r="G1138">
        <f t="shared" si="85"/>
        <v>-3.2732578856668526E-2</v>
      </c>
      <c r="H1138">
        <f t="shared" si="86"/>
        <v>-4.6294310926750688E-2</v>
      </c>
    </row>
    <row r="1139" spans="1:8" x14ac:dyDescent="0.2">
      <c r="A1139" s="1">
        <v>46063</v>
      </c>
      <c r="B1139">
        <v>273.68</v>
      </c>
      <c r="C1139">
        <f t="shared" si="87"/>
        <v>-3.4287832242565278E-3</v>
      </c>
      <c r="D1139">
        <f t="shared" si="82"/>
        <v>1.9857703610257783E-2</v>
      </c>
      <c r="E1139">
        <f t="shared" si="83"/>
        <v>3.2663015806259847E-2</v>
      </c>
      <c r="F1139">
        <f t="shared" si="84"/>
        <v>4.6195926577056318E-2</v>
      </c>
      <c r="G1139">
        <f t="shared" si="85"/>
        <v>-3.2663015806259847E-2</v>
      </c>
      <c r="H1139">
        <f t="shared" si="86"/>
        <v>-4.6195926577056318E-2</v>
      </c>
    </row>
    <row r="1140" spans="1:8" x14ac:dyDescent="0.2">
      <c r="A1140" s="1">
        <v>46064</v>
      </c>
      <c r="B1140">
        <v>275.5</v>
      </c>
      <c r="C1140">
        <f t="shared" si="87"/>
        <v>6.6280879236198581E-3</v>
      </c>
      <c r="D1140">
        <f t="shared" si="82"/>
        <v>1.9830469442041095E-2</v>
      </c>
      <c r="E1140">
        <f t="shared" si="83"/>
        <v>3.2618219585891617E-2</v>
      </c>
      <c r="F1140">
        <f t="shared" si="84"/>
        <v>4.6132570427724159E-2</v>
      </c>
      <c r="G1140">
        <f t="shared" si="85"/>
        <v>-3.2618219585891617E-2</v>
      </c>
      <c r="H1140">
        <f t="shared" si="86"/>
        <v>-4.6132570427724159E-2</v>
      </c>
    </row>
    <row r="1141" spans="1:8" x14ac:dyDescent="0.2">
      <c r="A1141" s="1">
        <v>46065</v>
      </c>
      <c r="B1141">
        <v>261.73</v>
      </c>
      <c r="C1141">
        <f t="shared" si="87"/>
        <v>-5.1274190548633441E-2</v>
      </c>
      <c r="D1141">
        <f t="shared" si="82"/>
        <v>2.0063741372790857E-2</v>
      </c>
      <c r="E1141">
        <f t="shared" si="83"/>
        <v>3.3001917767251338E-2</v>
      </c>
      <c r="F1141">
        <f t="shared" si="84"/>
        <v>4.6675242087897272E-2</v>
      </c>
      <c r="G1141">
        <f t="shared" si="85"/>
        <v>-3.3001917767251338E-2</v>
      </c>
      <c r="H1141">
        <f t="shared" si="86"/>
        <v>-4.6675242087897272E-2</v>
      </c>
    </row>
    <row r="1142" spans="1:8" x14ac:dyDescent="0.2">
      <c r="A1142" s="1">
        <v>46066</v>
      </c>
      <c r="B1142">
        <v>255.78</v>
      </c>
      <c r="C1142">
        <f t="shared" si="87"/>
        <v>-2.2995738039161814E-2</v>
      </c>
      <c r="D1142">
        <f t="shared" si="82"/>
        <v>2.0102575626790752E-2</v>
      </c>
      <c r="E1142">
        <f t="shared" si="83"/>
        <v>3.3065794430793022E-2</v>
      </c>
      <c r="F1142">
        <f t="shared" si="84"/>
        <v>4.6765584072129891E-2</v>
      </c>
      <c r="G1142">
        <f t="shared" si="85"/>
        <v>-3.3065794430793022E-2</v>
      </c>
      <c r="H1142">
        <f t="shared" si="86"/>
        <v>-4.6765584072129891E-2</v>
      </c>
    </row>
    <row r="1143" spans="1:8" x14ac:dyDescent="0.2">
      <c r="A1143" s="1">
        <v>46070</v>
      </c>
      <c r="B1143">
        <v>263.88</v>
      </c>
      <c r="C1143">
        <f t="shared" si="87"/>
        <v>3.1176754349496051E-2</v>
      </c>
      <c r="D1143">
        <f t="shared" si="82"/>
        <v>2.0197768666611812E-2</v>
      </c>
      <c r="E1143">
        <f t="shared" si="83"/>
        <v>3.3222373047603226E-2</v>
      </c>
      <c r="F1143">
        <f t="shared" si="84"/>
        <v>4.6987036197941097E-2</v>
      </c>
      <c r="G1143">
        <f t="shared" si="85"/>
        <v>-3.3222373047603226E-2</v>
      </c>
      <c r="H1143">
        <f t="shared" si="86"/>
        <v>-4.6987036197941097E-2</v>
      </c>
    </row>
    <row r="1144" spans="1:8" x14ac:dyDescent="0.2">
      <c r="A1144" s="1">
        <v>46071</v>
      </c>
      <c r="B1144">
        <v>264.35000000000002</v>
      </c>
      <c r="C1144">
        <f t="shared" si="87"/>
        <v>1.7795283267892476E-3</v>
      </c>
      <c r="D1144">
        <f t="shared" si="82"/>
        <v>2.0197808758412206E-2</v>
      </c>
      <c r="E1144">
        <f t="shared" si="83"/>
        <v>3.3222438992746517E-2</v>
      </c>
      <c r="F1144">
        <f t="shared" si="84"/>
        <v>4.6987129465415708E-2</v>
      </c>
      <c r="G1144">
        <f t="shared" si="85"/>
        <v>-3.3222438992746517E-2</v>
      </c>
      <c r="H1144">
        <f t="shared" si="86"/>
        <v>-4.6987129465415708E-2</v>
      </c>
    </row>
    <row r="1145" spans="1:8" x14ac:dyDescent="0.2">
      <c r="A1145" s="1">
        <v>46072</v>
      </c>
      <c r="B1145">
        <v>260.58</v>
      </c>
      <c r="C1145">
        <f t="shared" si="87"/>
        <v>-1.4364066906673809E-2</v>
      </c>
      <c r="D1145">
        <f t="shared" si="82"/>
        <v>2.021782901863076E-2</v>
      </c>
      <c r="E1145">
        <f t="shared" si="83"/>
        <v>3.3255369390379513E-2</v>
      </c>
      <c r="F1145">
        <f t="shared" si="84"/>
        <v>4.7033703555212886E-2</v>
      </c>
      <c r="G1145">
        <f t="shared" si="85"/>
        <v>-3.3255369390379513E-2</v>
      </c>
      <c r="H1145">
        <f t="shared" si="86"/>
        <v>-4.7033703555212886E-2</v>
      </c>
    </row>
    <row r="1146" spans="1:8" x14ac:dyDescent="0.2">
      <c r="A1146" s="1">
        <v>46073</v>
      </c>
      <c r="B1146">
        <v>264.58</v>
      </c>
      <c r="C1146">
        <f t="shared" si="87"/>
        <v>1.5233747259448463E-2</v>
      </c>
      <c r="D1146">
        <f t="shared" si="82"/>
        <v>2.0239814390361033E-2</v>
      </c>
      <c r="E1146">
        <f t="shared" si="83"/>
        <v>3.3291532108809932E-2</v>
      </c>
      <c r="F1146">
        <f t="shared" si="84"/>
        <v>4.7084849177997608E-2</v>
      </c>
      <c r="G1146">
        <f t="shared" si="85"/>
        <v>-3.3291532108809932E-2</v>
      </c>
      <c r="H1146">
        <f t="shared" si="86"/>
        <v>-4.7084849177997608E-2</v>
      </c>
    </row>
    <row r="1147" spans="1:8" x14ac:dyDescent="0.2">
      <c r="A1147" s="1">
        <v>46076</v>
      </c>
      <c r="B1147">
        <v>266.18</v>
      </c>
      <c r="C1147">
        <f t="shared" si="87"/>
        <v>6.0291086241762307E-3</v>
      </c>
      <c r="D1147">
        <f t="shared" si="82"/>
        <v>2.0239154638735903E-2</v>
      </c>
      <c r="E1147">
        <f t="shared" si="83"/>
        <v>3.3290446913956447E-2</v>
      </c>
      <c r="F1147">
        <f t="shared" si="84"/>
        <v>4.7083314366207087E-2</v>
      </c>
      <c r="G1147">
        <f t="shared" si="85"/>
        <v>-3.3290446913956447E-2</v>
      </c>
      <c r="H1147">
        <f t="shared" si="86"/>
        <v>-4.7083314366207087E-2</v>
      </c>
    </row>
    <row r="1148" spans="1:8" x14ac:dyDescent="0.2">
      <c r="A1148" s="1">
        <v>46077</v>
      </c>
      <c r="B1148">
        <v>272.14</v>
      </c>
      <c r="C1148">
        <f t="shared" si="87"/>
        <v>2.214386810430231E-2</v>
      </c>
      <c r="D1148">
        <f t="shared" si="82"/>
        <v>2.0286105696887026E-2</v>
      </c>
      <c r="E1148">
        <f t="shared" si="83"/>
        <v>3.3367674532245532E-2</v>
      </c>
      <c r="F1148">
        <f t="shared" si="84"/>
        <v>4.7192538860520925E-2</v>
      </c>
      <c r="G1148">
        <f t="shared" si="85"/>
        <v>-3.3367674532245532E-2</v>
      </c>
      <c r="H1148">
        <f t="shared" si="86"/>
        <v>-4.7192538860520925E-2</v>
      </c>
    </row>
    <row r="1149" spans="1:8" x14ac:dyDescent="0.2">
      <c r="A1149" s="1">
        <v>46078</v>
      </c>
      <c r="B1149">
        <v>274.23</v>
      </c>
      <c r="C1149">
        <f t="shared" si="87"/>
        <v>7.650530571124887E-3</v>
      </c>
      <c r="D1149">
        <f t="shared" ref="D1149:D1212" si="88">_xlfn.STDEV.S(C900:C1149)</f>
        <v>2.0214117951631288E-2</v>
      </c>
      <c r="E1149">
        <f t="shared" ref="E1149:E1212" si="89">_xlfn.NORM.S.INV(0.95)*D1149</f>
        <v>3.3249265228365577E-2</v>
      </c>
      <c r="F1149">
        <f t="shared" ref="F1149:F1212" si="90">_xlfn.NORM.S.INV(0.99)*D1149</f>
        <v>4.7025070322388243E-2</v>
      </c>
      <c r="G1149">
        <f t="shared" ref="G1149:G1212" si="91">-E1149</f>
        <v>-3.3249265228365577E-2</v>
      </c>
      <c r="H1149">
        <f t="shared" ref="H1149:H1212" si="92">-F1149</f>
        <v>-4.7025070322388243E-2</v>
      </c>
    </row>
    <row r="1150" spans="1:8" x14ac:dyDescent="0.2">
      <c r="A1150" s="1">
        <v>46079</v>
      </c>
      <c r="B1150">
        <v>272.95</v>
      </c>
      <c r="C1150">
        <f t="shared" si="87"/>
        <v>-4.6785421060705724E-3</v>
      </c>
      <c r="D1150">
        <f t="shared" si="88"/>
        <v>2.0199069325425652E-2</v>
      </c>
      <c r="E1150">
        <f t="shared" si="89"/>
        <v>3.3224512440970598E-2</v>
      </c>
      <c r="F1150">
        <f t="shared" si="90"/>
        <v>4.6990061982807523E-2</v>
      </c>
      <c r="G1150">
        <f t="shared" si="91"/>
        <v>-3.3224512440970598E-2</v>
      </c>
      <c r="H1150">
        <f t="shared" si="92"/>
        <v>-4.6990061982807523E-2</v>
      </c>
    </row>
    <row r="1151" spans="1:8" x14ac:dyDescent="0.2">
      <c r="A1151" s="1">
        <v>46080</v>
      </c>
      <c r="B1151">
        <v>264.18</v>
      </c>
      <c r="C1151">
        <f t="shared" si="87"/>
        <v>-3.265793923204912E-2</v>
      </c>
      <c r="D1151">
        <f t="shared" si="88"/>
        <v>2.0274122030605125E-2</v>
      </c>
      <c r="E1151">
        <f t="shared" si="89"/>
        <v>3.3347963155297575E-2</v>
      </c>
      <c r="F1151">
        <f t="shared" si="90"/>
        <v>4.7164660683942802E-2</v>
      </c>
      <c r="G1151">
        <f t="shared" si="91"/>
        <v>-3.3347963155297575E-2</v>
      </c>
      <c r="H1151">
        <f t="shared" si="92"/>
        <v>-4.7164660683942802E-2</v>
      </c>
    </row>
    <row r="1152" spans="1:8" x14ac:dyDescent="0.2">
      <c r="A1152" s="1">
        <v>46083</v>
      </c>
      <c r="B1152">
        <v>264.72000000000003</v>
      </c>
      <c r="C1152">
        <f t="shared" si="87"/>
        <v>2.0419746176394381E-3</v>
      </c>
      <c r="D1152">
        <f t="shared" si="88"/>
        <v>2.0248105645833566E-2</v>
      </c>
      <c r="E1152">
        <f t="shared" si="89"/>
        <v>3.330517001044591E-2</v>
      </c>
      <c r="F1152">
        <f t="shared" si="90"/>
        <v>4.7104137522539259E-2</v>
      </c>
      <c r="G1152">
        <f t="shared" si="91"/>
        <v>-3.330517001044591E-2</v>
      </c>
      <c r="H1152">
        <f t="shared" si="92"/>
        <v>-4.7104137522539259E-2</v>
      </c>
    </row>
    <row r="1153" spans="1:8" x14ac:dyDescent="0.2">
      <c r="A1153" s="1">
        <v>46084</v>
      </c>
      <c r="B1153">
        <v>263.69</v>
      </c>
      <c r="C1153">
        <f t="shared" si="87"/>
        <v>-3.8984928540938429E-3</v>
      </c>
      <c r="D1153">
        <f t="shared" si="88"/>
        <v>2.0241377837823222E-2</v>
      </c>
      <c r="E1153">
        <f t="shared" si="89"/>
        <v>3.329410375103866E-2</v>
      </c>
      <c r="F1153">
        <f t="shared" si="90"/>
        <v>4.708848630067744E-2</v>
      </c>
      <c r="G1153">
        <f t="shared" si="91"/>
        <v>-3.329410375103866E-2</v>
      </c>
      <c r="H1153">
        <f t="shared" si="92"/>
        <v>-4.708848630067744E-2</v>
      </c>
    </row>
    <row r="1154" spans="1:8" x14ac:dyDescent="0.2">
      <c r="A1154" s="1">
        <v>46085</v>
      </c>
      <c r="B1154">
        <v>262.45</v>
      </c>
      <c r="C1154">
        <f t="shared" si="87"/>
        <v>-4.7135830609543088E-3</v>
      </c>
      <c r="D1154">
        <f t="shared" si="88"/>
        <v>2.024386896316718E-2</v>
      </c>
      <c r="E1154">
        <f t="shared" si="89"/>
        <v>3.3298201287595863E-2</v>
      </c>
      <c r="F1154">
        <f t="shared" si="90"/>
        <v>4.7094281524825331E-2</v>
      </c>
      <c r="G1154">
        <f t="shared" si="91"/>
        <v>-3.3298201287595863E-2</v>
      </c>
      <c r="H1154">
        <f t="shared" si="92"/>
        <v>-4.7094281524825331E-2</v>
      </c>
    </row>
    <row r="1155" spans="1:8" x14ac:dyDescent="0.2">
      <c r="A1155" s="1">
        <v>46086</v>
      </c>
      <c r="B1155">
        <v>260.25</v>
      </c>
      <c r="C1155">
        <f t="shared" ref="C1155:C1218" si="93">LN(B1155/B1154)</f>
        <v>-8.4178802032305131E-3</v>
      </c>
      <c r="D1155">
        <f t="shared" si="88"/>
        <v>2.0251174034960084E-2</v>
      </c>
      <c r="E1155">
        <f t="shared" si="89"/>
        <v>3.3310217061429559E-2</v>
      </c>
      <c r="F1155">
        <f t="shared" si="90"/>
        <v>4.7111275663060469E-2</v>
      </c>
      <c r="G1155">
        <f t="shared" si="91"/>
        <v>-3.3310217061429559E-2</v>
      </c>
      <c r="H1155">
        <f t="shared" si="92"/>
        <v>-4.7111275663060469E-2</v>
      </c>
    </row>
    <row r="1156" spans="1:8" x14ac:dyDescent="0.2">
      <c r="A1156" s="1">
        <v>46087</v>
      </c>
      <c r="B1156">
        <v>257.45999999999998</v>
      </c>
      <c r="C1156">
        <f t="shared" si="93"/>
        <v>-1.0778339263590005E-2</v>
      </c>
      <c r="D1156">
        <f t="shared" si="88"/>
        <v>2.0239992726553351E-2</v>
      </c>
      <c r="E1156">
        <f t="shared" si="89"/>
        <v>3.3291825445742683E-2</v>
      </c>
      <c r="F1156">
        <f t="shared" si="90"/>
        <v>4.7085264050019469E-2</v>
      </c>
      <c r="G1156">
        <f t="shared" si="91"/>
        <v>-3.3291825445742683E-2</v>
      </c>
      <c r="H1156">
        <f t="shared" si="92"/>
        <v>-4.7085264050019469E-2</v>
      </c>
    </row>
    <row r="1157" spans="1:8" x14ac:dyDescent="0.2">
      <c r="A1157" s="1">
        <v>46090</v>
      </c>
      <c r="B1157">
        <v>259.89</v>
      </c>
      <c r="C1157">
        <f t="shared" si="93"/>
        <v>9.3940963386702613E-3</v>
      </c>
      <c r="D1157">
        <f t="shared" si="88"/>
        <v>1.9997210716200843E-2</v>
      </c>
      <c r="E1157">
        <f t="shared" si="89"/>
        <v>3.2892484575455787E-2</v>
      </c>
      <c r="F1157">
        <f t="shared" si="90"/>
        <v>4.6520468636380548E-2</v>
      </c>
      <c r="G1157">
        <f t="shared" si="91"/>
        <v>-3.2892484575455787E-2</v>
      </c>
      <c r="H1157">
        <f t="shared" si="92"/>
        <v>-4.6520468636380548E-2</v>
      </c>
    </row>
    <row r="1158" spans="1:8" x14ac:dyDescent="0.2">
      <c r="A1158" s="1">
        <v>46091</v>
      </c>
      <c r="B1158">
        <v>260.72000000000003</v>
      </c>
      <c r="C1158">
        <f t="shared" si="93"/>
        <v>3.1885699591475778E-3</v>
      </c>
      <c r="D1158">
        <f t="shared" si="88"/>
        <v>1.9905875010286369E-2</v>
      </c>
      <c r="E1158">
        <f t="shared" si="89"/>
        <v>3.2742250708312194E-2</v>
      </c>
      <c r="F1158">
        <f t="shared" si="90"/>
        <v>4.630799001110239E-2</v>
      </c>
      <c r="G1158">
        <f t="shared" si="91"/>
        <v>-3.2742250708312194E-2</v>
      </c>
      <c r="H1158">
        <f t="shared" si="92"/>
        <v>-4.630799001110239E-2</v>
      </c>
    </row>
    <row r="1159" spans="1:8" x14ac:dyDescent="0.2">
      <c r="A1159" s="1">
        <v>46092</v>
      </c>
      <c r="B1159">
        <v>260.81</v>
      </c>
      <c r="C1159">
        <f t="shared" si="93"/>
        <v>3.4513834637848285E-4</v>
      </c>
      <c r="D1159">
        <f t="shared" si="88"/>
        <v>1.9871877405816186E-2</v>
      </c>
      <c r="E1159">
        <f t="shared" si="89"/>
        <v>3.2686329625291749E-2</v>
      </c>
      <c r="F1159">
        <f t="shared" si="90"/>
        <v>4.6228899756220701E-2</v>
      </c>
      <c r="G1159">
        <f t="shared" si="91"/>
        <v>-3.2686329625291749E-2</v>
      </c>
      <c r="H1159">
        <f t="shared" si="92"/>
        <v>-4.6228899756220701E-2</v>
      </c>
    </row>
    <row r="1160" spans="1:8" x14ac:dyDescent="0.2">
      <c r="A1160" s="1">
        <v>46093</v>
      </c>
      <c r="B1160">
        <v>255.76</v>
      </c>
      <c r="C1160">
        <f t="shared" si="93"/>
        <v>-1.9552668124098685E-2</v>
      </c>
      <c r="D1160">
        <f t="shared" si="88"/>
        <v>1.9789681743745603E-2</v>
      </c>
      <c r="E1160">
        <f t="shared" si="89"/>
        <v>3.2551129792415277E-2</v>
      </c>
      <c r="F1160">
        <f t="shared" si="90"/>
        <v>4.6037684052507424E-2</v>
      </c>
      <c r="G1160">
        <f t="shared" si="91"/>
        <v>-3.2551129792415277E-2</v>
      </c>
      <c r="H1160">
        <f t="shared" si="92"/>
        <v>-4.6037684052507424E-2</v>
      </c>
    </row>
    <row r="1161" spans="1:8" x14ac:dyDescent="0.2">
      <c r="A1161" s="1">
        <v>46094</v>
      </c>
      <c r="B1161">
        <v>250.12</v>
      </c>
      <c r="C1161">
        <f t="shared" si="93"/>
        <v>-2.2298702052488843E-2</v>
      </c>
      <c r="D1161">
        <f t="shared" si="88"/>
        <v>1.9813208605521323E-2</v>
      </c>
      <c r="E1161">
        <f t="shared" si="89"/>
        <v>3.2589828036337858E-2</v>
      </c>
      <c r="F1161">
        <f t="shared" si="90"/>
        <v>4.6092415717382221E-2</v>
      </c>
      <c r="G1161">
        <f t="shared" si="91"/>
        <v>-3.2589828036337858E-2</v>
      </c>
      <c r="H1161">
        <f t="shared" si="92"/>
        <v>-4.6092415717382221E-2</v>
      </c>
    </row>
    <row r="1162" spans="1:8" x14ac:dyDescent="0.2">
      <c r="A1162" s="1">
        <v>46097</v>
      </c>
      <c r="B1162">
        <v>252.82</v>
      </c>
      <c r="C1162">
        <f t="shared" si="93"/>
        <v>1.0736970368314249E-2</v>
      </c>
      <c r="D1162">
        <f t="shared" si="88"/>
        <v>1.9823180912232834E-2</v>
      </c>
      <c r="E1162">
        <f t="shared" si="89"/>
        <v>3.260623102120136E-2</v>
      </c>
      <c r="F1162">
        <f t="shared" si="90"/>
        <v>4.6115614771899828E-2</v>
      </c>
      <c r="G1162">
        <f t="shared" si="91"/>
        <v>-3.260623102120136E-2</v>
      </c>
      <c r="H1162">
        <f t="shared" si="92"/>
        <v>-4.6115614771899828E-2</v>
      </c>
    </row>
    <row r="1163" spans="1:8" x14ac:dyDescent="0.2">
      <c r="A1163" s="1">
        <v>46098</v>
      </c>
      <c r="B1163">
        <v>254.23</v>
      </c>
      <c r="C1163">
        <f t="shared" si="93"/>
        <v>5.5615960336526096E-3</v>
      </c>
      <c r="D1163">
        <f t="shared" si="88"/>
        <v>1.9820812784464351E-2</v>
      </c>
      <c r="E1163">
        <f t="shared" si="89"/>
        <v>3.2602335797652281E-2</v>
      </c>
      <c r="F1163">
        <f t="shared" si="90"/>
        <v>4.6110105682900158E-2</v>
      </c>
      <c r="G1163">
        <f t="shared" si="91"/>
        <v>-3.2602335797652281E-2</v>
      </c>
      <c r="H1163">
        <f t="shared" si="92"/>
        <v>-4.6110105682900158E-2</v>
      </c>
    </row>
    <row r="1164" spans="1:8" x14ac:dyDescent="0.2">
      <c r="A1164" s="1">
        <v>46099</v>
      </c>
      <c r="B1164">
        <v>249.94</v>
      </c>
      <c r="C1164">
        <f t="shared" si="93"/>
        <v>-1.7018480043426643E-2</v>
      </c>
      <c r="D1164">
        <f t="shared" si="88"/>
        <v>1.983971268499158E-2</v>
      </c>
      <c r="E1164">
        <f t="shared" si="89"/>
        <v>3.2633423367583521E-2</v>
      </c>
      <c r="F1164">
        <f t="shared" si="90"/>
        <v>4.6154073426311261E-2</v>
      </c>
      <c r="G1164">
        <f t="shared" si="91"/>
        <v>-3.2633423367583521E-2</v>
      </c>
      <c r="H1164">
        <f t="shared" si="92"/>
        <v>-4.6154073426311261E-2</v>
      </c>
    </row>
    <row r="1165" spans="1:8" x14ac:dyDescent="0.2">
      <c r="A1165" s="1">
        <v>46100</v>
      </c>
      <c r="B1165">
        <v>248.96</v>
      </c>
      <c r="C1165">
        <f t="shared" si="93"/>
        <v>-3.9286480676107884E-3</v>
      </c>
      <c r="D1165">
        <f t="shared" si="88"/>
        <v>1.9838259091517409E-2</v>
      </c>
      <c r="E1165">
        <f t="shared" si="89"/>
        <v>3.2631032419085416E-2</v>
      </c>
      <c r="F1165">
        <f t="shared" si="90"/>
        <v>4.6150691862222905E-2</v>
      </c>
      <c r="G1165">
        <f t="shared" si="91"/>
        <v>-3.2631032419085416E-2</v>
      </c>
      <c r="H1165">
        <f t="shared" si="92"/>
        <v>-4.6150691862222905E-2</v>
      </c>
    </row>
    <row r="1166" spans="1:8" x14ac:dyDescent="0.2">
      <c r="A1166" s="1">
        <v>46101</v>
      </c>
      <c r="B1166">
        <v>247.99</v>
      </c>
      <c r="C1166">
        <f t="shared" si="93"/>
        <v>-3.9038182186668519E-3</v>
      </c>
      <c r="D1166">
        <f t="shared" si="88"/>
        <v>1.980482355504673E-2</v>
      </c>
      <c r="E1166">
        <f t="shared" si="89"/>
        <v>3.2576035855652552E-2</v>
      </c>
      <c r="F1166">
        <f t="shared" si="90"/>
        <v>4.6072909173036927E-2</v>
      </c>
      <c r="G1166">
        <f t="shared" si="91"/>
        <v>-3.2576035855652552E-2</v>
      </c>
      <c r="H1166">
        <f t="shared" si="92"/>
        <v>-4.6072909173036927E-2</v>
      </c>
    </row>
    <row r="1167" spans="1:8" x14ac:dyDescent="0.2">
      <c r="A1167" s="1">
        <v>46104</v>
      </c>
      <c r="B1167">
        <v>251.49</v>
      </c>
      <c r="C1167">
        <f t="shared" si="93"/>
        <v>1.4014804546515736E-2</v>
      </c>
      <c r="D1167">
        <f t="shared" si="88"/>
        <v>1.9811701166191641E-2</v>
      </c>
      <c r="E1167">
        <f t="shared" si="89"/>
        <v>3.2587348519289017E-2</v>
      </c>
      <c r="F1167">
        <f t="shared" si="90"/>
        <v>4.6088908889102373E-2</v>
      </c>
      <c r="G1167">
        <f t="shared" si="91"/>
        <v>-3.2587348519289017E-2</v>
      </c>
      <c r="H1167">
        <f t="shared" si="92"/>
        <v>-4.6088908889102373E-2</v>
      </c>
    </row>
    <row r="1168" spans="1:8" x14ac:dyDescent="0.2">
      <c r="A1168" s="1">
        <v>46105</v>
      </c>
      <c r="B1168">
        <v>251.64</v>
      </c>
      <c r="C1168">
        <f t="shared" si="93"/>
        <v>5.9626738395318244E-4</v>
      </c>
      <c r="D1168">
        <f t="shared" si="88"/>
        <v>1.9794351437101877E-2</v>
      </c>
      <c r="E1168">
        <f t="shared" si="89"/>
        <v>3.2558810754469099E-2</v>
      </c>
      <c r="F1168">
        <f t="shared" si="90"/>
        <v>4.6048547383719211E-2</v>
      </c>
      <c r="G1168">
        <f t="shared" si="91"/>
        <v>-3.2558810754469099E-2</v>
      </c>
      <c r="H1168">
        <f t="shared" si="92"/>
        <v>-4.6048547383719211E-2</v>
      </c>
    </row>
    <row r="1169" spans="1:8" x14ac:dyDescent="0.2">
      <c r="A1169" s="1">
        <v>46106</v>
      </c>
      <c r="B1169">
        <v>252.62</v>
      </c>
      <c r="C1169">
        <f t="shared" si="93"/>
        <v>3.8868886440003949E-3</v>
      </c>
      <c r="D1169">
        <f t="shared" si="88"/>
        <v>1.9784341136896536E-2</v>
      </c>
      <c r="E1169">
        <f t="shared" si="89"/>
        <v>3.2542345275869466E-2</v>
      </c>
      <c r="F1169">
        <f t="shared" si="90"/>
        <v>4.6025259943118006E-2</v>
      </c>
      <c r="G1169">
        <f t="shared" si="91"/>
        <v>-3.2542345275869466E-2</v>
      </c>
      <c r="H1169">
        <f t="shared" si="92"/>
        <v>-4.6025259943118006E-2</v>
      </c>
    </row>
    <row r="1170" spans="1:8" x14ac:dyDescent="0.2">
      <c r="A1170" s="1">
        <v>46107</v>
      </c>
      <c r="B1170">
        <v>252.89</v>
      </c>
      <c r="C1170">
        <f t="shared" si="93"/>
        <v>1.068228227631363E-3</v>
      </c>
      <c r="D1170">
        <f t="shared" si="88"/>
        <v>1.9774432242067933E-2</v>
      </c>
      <c r="E1170">
        <f t="shared" si="89"/>
        <v>3.2526046594271558E-2</v>
      </c>
      <c r="F1170">
        <f t="shared" si="90"/>
        <v>4.6002208406699392E-2</v>
      </c>
      <c r="G1170">
        <f t="shared" si="91"/>
        <v>-3.2526046594271558E-2</v>
      </c>
      <c r="H1170">
        <f t="shared" si="92"/>
        <v>-4.6002208406699392E-2</v>
      </c>
    </row>
    <row r="1171" spans="1:8" x14ac:dyDescent="0.2">
      <c r="A1171" s="1">
        <v>46108</v>
      </c>
      <c r="B1171">
        <v>248.8</v>
      </c>
      <c r="C1171">
        <f t="shared" si="93"/>
        <v>-1.6305250708436279E-2</v>
      </c>
      <c r="D1171">
        <f t="shared" si="88"/>
        <v>1.9726514698130058E-2</v>
      </c>
      <c r="E1171">
        <f t="shared" si="89"/>
        <v>3.2447229248330739E-2</v>
      </c>
      <c r="F1171">
        <f t="shared" si="90"/>
        <v>4.5890735530230257E-2</v>
      </c>
      <c r="G1171">
        <f t="shared" si="91"/>
        <v>-3.2447229248330739E-2</v>
      </c>
      <c r="H1171">
        <f t="shared" si="92"/>
        <v>-4.5890735530230257E-2</v>
      </c>
    </row>
    <row r="1172" spans="1:8" x14ac:dyDescent="0.2">
      <c r="A1172" s="1">
        <v>46111</v>
      </c>
      <c r="B1172">
        <v>246.63</v>
      </c>
      <c r="C1172">
        <f t="shared" si="93"/>
        <v>-8.7601230328726749E-3</v>
      </c>
      <c r="D1172">
        <f t="shared" si="88"/>
        <v>1.9699475044789215E-2</v>
      </c>
      <c r="E1172">
        <f t="shared" si="89"/>
        <v>3.2402752976461544E-2</v>
      </c>
      <c r="F1172">
        <f t="shared" si="90"/>
        <v>4.5827831890165989E-2</v>
      </c>
      <c r="G1172">
        <f t="shared" si="91"/>
        <v>-3.2402752976461544E-2</v>
      </c>
      <c r="H1172">
        <f t="shared" si="92"/>
        <v>-4.5827831890165989E-2</v>
      </c>
    </row>
    <row r="1173" spans="1:8" x14ac:dyDescent="0.2">
      <c r="A1173" s="1">
        <v>46112</v>
      </c>
      <c r="B1173">
        <v>253.79</v>
      </c>
      <c r="C1173">
        <f t="shared" si="93"/>
        <v>2.8617915568660734E-2</v>
      </c>
      <c r="D1173">
        <f t="shared" si="88"/>
        <v>1.977813902642956E-2</v>
      </c>
      <c r="E1173">
        <f t="shared" si="89"/>
        <v>3.2532143711973105E-2</v>
      </c>
      <c r="F1173">
        <f t="shared" si="90"/>
        <v>4.601083167661859E-2</v>
      </c>
      <c r="G1173">
        <f t="shared" si="91"/>
        <v>-3.2532143711973105E-2</v>
      </c>
      <c r="H1173">
        <f t="shared" si="92"/>
        <v>-4.601083167661859E-2</v>
      </c>
    </row>
    <row r="1174" spans="1:8" x14ac:dyDescent="0.2">
      <c r="A1174" s="1">
        <v>46113</v>
      </c>
      <c r="B1174">
        <v>255.63</v>
      </c>
      <c r="C1174">
        <f t="shared" si="93"/>
        <v>7.2239331071617657E-3</v>
      </c>
      <c r="D1174">
        <f t="shared" si="88"/>
        <v>1.9781990539415067E-2</v>
      </c>
      <c r="E1174">
        <f t="shared" si="89"/>
        <v>3.2538478887076568E-2</v>
      </c>
      <c r="F1174">
        <f t="shared" si="90"/>
        <v>4.6019791635664269E-2</v>
      </c>
      <c r="G1174">
        <f t="shared" si="91"/>
        <v>-3.2538478887076568E-2</v>
      </c>
      <c r="H1174">
        <f t="shared" si="92"/>
        <v>-4.6019791635664269E-2</v>
      </c>
    </row>
    <row r="1175" spans="1:8" x14ac:dyDescent="0.2">
      <c r="A1175" s="1">
        <v>46114</v>
      </c>
      <c r="B1175">
        <v>255.92</v>
      </c>
      <c r="C1175">
        <f t="shared" si="93"/>
        <v>1.1338091332883499E-3</v>
      </c>
      <c r="D1175">
        <f t="shared" si="88"/>
        <v>1.8786940283119682E-2</v>
      </c>
      <c r="E1175">
        <f t="shared" si="89"/>
        <v>3.0901766864010114E-2</v>
      </c>
      <c r="F1175">
        <f t="shared" si="90"/>
        <v>4.3704958587367705E-2</v>
      </c>
      <c r="G1175">
        <f t="shared" si="91"/>
        <v>-3.0901766864010114E-2</v>
      </c>
      <c r="H1175">
        <f t="shared" si="92"/>
        <v>-4.3704958587367705E-2</v>
      </c>
    </row>
    <row r="1176" spans="1:8" x14ac:dyDescent="0.2">
      <c r="A1176" s="1">
        <v>46118</v>
      </c>
      <c r="B1176">
        <v>258.86</v>
      </c>
      <c r="C1176">
        <f t="shared" si="93"/>
        <v>1.1422479373029577E-2</v>
      </c>
      <c r="D1176">
        <f t="shared" si="88"/>
        <v>1.8157294892349886E-2</v>
      </c>
      <c r="E1176">
        <f t="shared" si="89"/>
        <v>2.9866092359309138E-2</v>
      </c>
      <c r="F1176">
        <f t="shared" si="90"/>
        <v>4.2240184371150777E-2</v>
      </c>
      <c r="G1176">
        <f t="shared" si="91"/>
        <v>-2.9866092359309138E-2</v>
      </c>
      <c r="H1176">
        <f t="shared" si="92"/>
        <v>-4.2240184371150777E-2</v>
      </c>
    </row>
    <row r="1177" spans="1:8" x14ac:dyDescent="0.2">
      <c r="A1177" s="1">
        <v>46119</v>
      </c>
      <c r="B1177">
        <v>253.5</v>
      </c>
      <c r="C1177">
        <f t="shared" si="93"/>
        <v>-2.0923551983054289E-2</v>
      </c>
      <c r="D1177">
        <f t="shared" si="88"/>
        <v>1.8045683923415479E-2</v>
      </c>
      <c r="E1177">
        <f t="shared" si="89"/>
        <v>2.9682508652249813E-2</v>
      </c>
      <c r="F1177">
        <f t="shared" si="90"/>
        <v>4.1980538430850575E-2</v>
      </c>
      <c r="G1177">
        <f t="shared" si="91"/>
        <v>-2.9682508652249813E-2</v>
      </c>
      <c r="H1177">
        <f t="shared" si="92"/>
        <v>-4.1980538430850575E-2</v>
      </c>
    </row>
    <row r="1178" spans="1:8" x14ac:dyDescent="0.2">
      <c r="A1178" s="1">
        <v>46120</v>
      </c>
      <c r="B1178">
        <v>258.89999999999998</v>
      </c>
      <c r="C1178">
        <f t="shared" si="93"/>
        <v>2.1078063726254075E-2</v>
      </c>
      <c r="D1178">
        <f t="shared" si="88"/>
        <v>1.7778395677437477E-2</v>
      </c>
      <c r="E1178">
        <f t="shared" si="89"/>
        <v>2.9242858611411397E-2</v>
      </c>
      <c r="F1178">
        <f t="shared" si="90"/>
        <v>4.135873298806355E-2</v>
      </c>
      <c r="G1178">
        <f t="shared" si="91"/>
        <v>-2.9242858611411397E-2</v>
      </c>
      <c r="H1178">
        <f t="shared" si="92"/>
        <v>-4.135873298806355E-2</v>
      </c>
    </row>
    <row r="1179" spans="1:8" x14ac:dyDescent="0.2">
      <c r="A1179" s="1">
        <v>46121</v>
      </c>
      <c r="B1179">
        <v>260.49</v>
      </c>
      <c r="C1179">
        <f t="shared" si="93"/>
        <v>6.1225859831717522E-3</v>
      </c>
      <c r="D1179">
        <f t="shared" si="88"/>
        <v>1.5363213768692149E-2</v>
      </c>
      <c r="E1179">
        <f t="shared" si="89"/>
        <v>2.5270237889064066E-2</v>
      </c>
      <c r="F1179">
        <f t="shared" si="90"/>
        <v>3.5740179689231953E-2</v>
      </c>
      <c r="G1179">
        <f t="shared" si="91"/>
        <v>-2.5270237889064066E-2</v>
      </c>
      <c r="H1179">
        <f t="shared" si="92"/>
        <v>-3.5740179689231953E-2</v>
      </c>
    </row>
    <row r="1180" spans="1:8" x14ac:dyDescent="0.2">
      <c r="A1180" s="1">
        <v>46122</v>
      </c>
      <c r="B1180">
        <v>260.48</v>
      </c>
      <c r="C1180">
        <f t="shared" si="93"/>
        <v>-3.838992648799145E-5</v>
      </c>
      <c r="D1180">
        <f t="shared" si="88"/>
        <v>1.5102303436200906E-2</v>
      </c>
      <c r="E1180">
        <f t="shared" si="89"/>
        <v>2.4841078582356731E-2</v>
      </c>
      <c r="F1180">
        <f t="shared" si="90"/>
        <v>3.5133211491925664E-2</v>
      </c>
      <c r="G1180">
        <f t="shared" si="91"/>
        <v>-2.4841078582356731E-2</v>
      </c>
      <c r="H1180">
        <f t="shared" si="92"/>
        <v>-3.5133211491925664E-2</v>
      </c>
    </row>
    <row r="1181" spans="1:8" x14ac:dyDescent="0.2">
      <c r="A1181" s="1">
        <v>46125</v>
      </c>
      <c r="B1181">
        <v>259.2</v>
      </c>
      <c r="C1181">
        <f t="shared" si="93"/>
        <v>-4.9261183360560009E-3</v>
      </c>
      <c r="D1181">
        <f t="shared" si="88"/>
        <v>1.4907813547121439E-2</v>
      </c>
      <c r="E1181">
        <f t="shared" si="89"/>
        <v>2.4521171182898982E-2</v>
      </c>
      <c r="F1181">
        <f t="shared" si="90"/>
        <v>3.4680760351943202E-2</v>
      </c>
      <c r="G1181">
        <f t="shared" si="91"/>
        <v>-2.4521171182898982E-2</v>
      </c>
      <c r="H1181">
        <f t="shared" si="92"/>
        <v>-3.4680760351943202E-2</v>
      </c>
    </row>
    <row r="1182" spans="1:8" x14ac:dyDescent="0.2">
      <c r="A1182" s="1">
        <v>46126</v>
      </c>
      <c r="B1182">
        <v>258.83</v>
      </c>
      <c r="C1182">
        <f t="shared" si="93"/>
        <v>-1.4284889404779955E-3</v>
      </c>
      <c r="D1182">
        <f t="shared" si="88"/>
        <v>1.4850426062653181E-2</v>
      </c>
      <c r="E1182">
        <f t="shared" si="89"/>
        <v>2.4426777170929746E-2</v>
      </c>
      <c r="F1182">
        <f t="shared" si="90"/>
        <v>3.4547257099453922E-2</v>
      </c>
      <c r="G1182">
        <f t="shared" si="91"/>
        <v>-2.4426777170929746E-2</v>
      </c>
      <c r="H1182">
        <f t="shared" si="92"/>
        <v>-3.4547257099453922E-2</v>
      </c>
    </row>
    <row r="1183" spans="1:8" x14ac:dyDescent="0.2">
      <c r="A1183" s="1">
        <v>46127</v>
      </c>
      <c r="B1183">
        <v>266.43</v>
      </c>
      <c r="C1183">
        <f t="shared" si="93"/>
        <v>2.8940069400880748E-2</v>
      </c>
      <c r="D1183">
        <f t="shared" si="88"/>
        <v>1.49540000118669E-2</v>
      </c>
      <c r="E1183">
        <f t="shared" si="89"/>
        <v>2.4597141156951618E-2</v>
      </c>
      <c r="F1183">
        <f t="shared" si="90"/>
        <v>3.4788206136013272E-2</v>
      </c>
      <c r="G1183">
        <f t="shared" si="91"/>
        <v>-2.4597141156951618E-2</v>
      </c>
      <c r="H1183">
        <f t="shared" si="92"/>
        <v>-3.4788206136013272E-2</v>
      </c>
    </row>
    <row r="1184" spans="1:8" x14ac:dyDescent="0.2">
      <c r="A1184" s="1">
        <v>46128</v>
      </c>
      <c r="B1184">
        <v>263.39999999999998</v>
      </c>
      <c r="C1184">
        <f t="shared" si="93"/>
        <v>-1.1437755629341895E-2</v>
      </c>
      <c r="D1184">
        <f t="shared" si="88"/>
        <v>1.474944888016016E-2</v>
      </c>
      <c r="E1184">
        <f t="shared" si="89"/>
        <v>2.4260684486066761E-2</v>
      </c>
      <c r="F1184">
        <f t="shared" si="90"/>
        <v>3.4312349045634648E-2</v>
      </c>
      <c r="G1184">
        <f t="shared" si="91"/>
        <v>-2.4260684486066761E-2</v>
      </c>
      <c r="H1184">
        <f t="shared" si="92"/>
        <v>-3.4312349045634648E-2</v>
      </c>
    </row>
    <row r="1185" spans="1:8" x14ac:dyDescent="0.2">
      <c r="A1185" s="1">
        <v>46129</v>
      </c>
      <c r="B1185">
        <v>270.23</v>
      </c>
      <c r="C1185">
        <f t="shared" si="93"/>
        <v>2.5599658921175095E-2</v>
      </c>
      <c r="D1185">
        <f t="shared" si="88"/>
        <v>1.4808402480008965E-2</v>
      </c>
      <c r="E1185">
        <f t="shared" si="89"/>
        <v>2.4357654528599913E-2</v>
      </c>
      <c r="F1185">
        <f t="shared" si="90"/>
        <v>3.4449495627309971E-2</v>
      </c>
      <c r="G1185">
        <f t="shared" si="91"/>
        <v>-2.4357654528599913E-2</v>
      </c>
      <c r="H1185">
        <f t="shared" si="92"/>
        <v>-3.4449495627309971E-2</v>
      </c>
    </row>
    <row r="1186" spans="1:8" x14ac:dyDescent="0.2">
      <c r="A1186" s="1">
        <v>46132</v>
      </c>
      <c r="B1186">
        <v>273.05</v>
      </c>
      <c r="C1186">
        <f t="shared" si="93"/>
        <v>1.0381480367807207E-2</v>
      </c>
      <c r="D1186">
        <f t="shared" si="88"/>
        <v>1.4760010820085942E-2</v>
      </c>
      <c r="E1186">
        <f t="shared" si="89"/>
        <v>2.4278057331261326E-2</v>
      </c>
      <c r="F1186">
        <f t="shared" si="90"/>
        <v>3.433691979212674E-2</v>
      </c>
      <c r="G1186">
        <f t="shared" si="91"/>
        <v>-2.4278057331261326E-2</v>
      </c>
      <c r="H1186">
        <f t="shared" si="92"/>
        <v>-3.433691979212674E-2</v>
      </c>
    </row>
    <row r="1187" spans="1:8" x14ac:dyDescent="0.2">
      <c r="A1187" s="1">
        <v>46133</v>
      </c>
      <c r="B1187">
        <v>266.17</v>
      </c>
      <c r="C1187">
        <f t="shared" si="93"/>
        <v>-2.5519726208095544E-2</v>
      </c>
      <c r="D1187">
        <f t="shared" si="88"/>
        <v>1.471648308941036E-2</v>
      </c>
      <c r="E1187">
        <f t="shared" si="89"/>
        <v>2.4206460585586627E-2</v>
      </c>
      <c r="F1187">
        <f t="shared" si="90"/>
        <v>3.4235659148407774E-2</v>
      </c>
      <c r="G1187">
        <f t="shared" si="91"/>
        <v>-2.4206460585586627E-2</v>
      </c>
      <c r="H1187">
        <f t="shared" si="92"/>
        <v>-3.4235659148407774E-2</v>
      </c>
    </row>
    <row r="1188" spans="1:8" x14ac:dyDescent="0.2">
      <c r="A1188" s="1">
        <v>46134</v>
      </c>
      <c r="B1188">
        <v>273.17</v>
      </c>
      <c r="C1188">
        <f t="shared" si="93"/>
        <v>2.5959109613794974E-2</v>
      </c>
      <c r="D1188">
        <f t="shared" si="88"/>
        <v>1.4728983493408739E-2</v>
      </c>
      <c r="E1188">
        <f t="shared" si="89"/>
        <v>2.4227021920441721E-2</v>
      </c>
      <c r="F1188">
        <f t="shared" si="90"/>
        <v>3.4264739436674053E-2</v>
      </c>
      <c r="G1188">
        <f t="shared" si="91"/>
        <v>-2.4227021920441721E-2</v>
      </c>
      <c r="H1188">
        <f t="shared" si="92"/>
        <v>-3.4264739436674053E-2</v>
      </c>
    </row>
    <row r="1189" spans="1:8" x14ac:dyDescent="0.2">
      <c r="A1189" s="1">
        <v>46135</v>
      </c>
      <c r="B1189">
        <v>273.43</v>
      </c>
      <c r="C1189">
        <f t="shared" si="93"/>
        <v>9.513356004725754E-4</v>
      </c>
      <c r="D1189">
        <f t="shared" si="88"/>
        <v>1.468894674141954E-2</v>
      </c>
      <c r="E1189">
        <f t="shared" si="89"/>
        <v>2.4161167323720929E-2</v>
      </c>
      <c r="F1189">
        <f t="shared" si="90"/>
        <v>3.4171600023800479E-2</v>
      </c>
      <c r="G1189">
        <f t="shared" si="91"/>
        <v>-2.4161167323720929E-2</v>
      </c>
      <c r="H1189">
        <f t="shared" si="92"/>
        <v>-3.4171600023800479E-2</v>
      </c>
    </row>
    <row r="1190" spans="1:8" x14ac:dyDescent="0.2">
      <c r="A1190" s="1">
        <v>46136</v>
      </c>
      <c r="B1190">
        <v>271.06</v>
      </c>
      <c r="C1190">
        <f t="shared" si="93"/>
        <v>-8.7054490164650087E-3</v>
      </c>
      <c r="D1190">
        <f t="shared" si="88"/>
        <v>1.4700557286651664E-2</v>
      </c>
      <c r="E1190">
        <f t="shared" si="89"/>
        <v>2.4180264971156874E-2</v>
      </c>
      <c r="F1190">
        <f t="shared" si="90"/>
        <v>3.4198610191017685E-2</v>
      </c>
      <c r="G1190">
        <f t="shared" si="91"/>
        <v>-2.4180264971156874E-2</v>
      </c>
      <c r="H1190">
        <f t="shared" si="92"/>
        <v>-3.4198610191017685E-2</v>
      </c>
    </row>
    <row r="1191" spans="1:8" x14ac:dyDescent="0.2">
      <c r="A1191" s="1">
        <v>46139</v>
      </c>
      <c r="B1191">
        <v>267.61</v>
      </c>
      <c r="C1191">
        <f t="shared" si="93"/>
        <v>-1.2809501824235157E-2</v>
      </c>
      <c r="D1191">
        <f t="shared" si="88"/>
        <v>1.4725357383639944E-2</v>
      </c>
      <c r="E1191">
        <f t="shared" si="89"/>
        <v>2.4221057500636793E-2</v>
      </c>
      <c r="F1191">
        <f t="shared" si="90"/>
        <v>3.4256303843922378E-2</v>
      </c>
      <c r="G1191">
        <f t="shared" si="91"/>
        <v>-2.4221057500636793E-2</v>
      </c>
      <c r="H1191">
        <f t="shared" si="92"/>
        <v>-3.4256303843922378E-2</v>
      </c>
    </row>
    <row r="1192" spans="1:8" x14ac:dyDescent="0.2">
      <c r="A1192" s="1">
        <v>46140</v>
      </c>
      <c r="B1192">
        <v>270.70999999999998</v>
      </c>
      <c r="C1192">
        <f t="shared" si="93"/>
        <v>1.1517440437700144E-2</v>
      </c>
      <c r="D1192">
        <f t="shared" si="88"/>
        <v>1.4738173917047523E-2</v>
      </c>
      <c r="E1192">
        <f t="shared" si="89"/>
        <v>2.4242138822097196E-2</v>
      </c>
      <c r="F1192">
        <f t="shared" si="90"/>
        <v>3.4286119559167674E-2</v>
      </c>
      <c r="G1192">
        <f t="shared" si="91"/>
        <v>-2.4242138822097196E-2</v>
      </c>
      <c r="H1192">
        <f t="shared" si="92"/>
        <v>-3.4286119559167674E-2</v>
      </c>
    </row>
    <row r="1193" spans="1:8" x14ac:dyDescent="0.2">
      <c r="A1193" s="1">
        <v>46141</v>
      </c>
      <c r="B1193">
        <v>270.17</v>
      </c>
      <c r="C1193">
        <f t="shared" si="93"/>
        <v>-1.9967467069029921E-3</v>
      </c>
      <c r="D1193">
        <f t="shared" si="88"/>
        <v>1.4735851515641295E-2</v>
      </c>
      <c r="E1193">
        <f t="shared" si="89"/>
        <v>2.4238318811720921E-2</v>
      </c>
      <c r="F1193">
        <f t="shared" si="90"/>
        <v>3.4280716845593626E-2</v>
      </c>
      <c r="G1193">
        <f t="shared" si="91"/>
        <v>-2.4238318811720921E-2</v>
      </c>
      <c r="H1193">
        <f t="shared" si="92"/>
        <v>-3.4280716845593626E-2</v>
      </c>
    </row>
    <row r="1194" spans="1:8" x14ac:dyDescent="0.2">
      <c r="A1194" s="1">
        <v>46142</v>
      </c>
      <c r="B1194">
        <v>271.35000000000002</v>
      </c>
      <c r="C1194">
        <f t="shared" si="93"/>
        <v>4.3581100149818943E-3</v>
      </c>
      <c r="D1194">
        <f t="shared" si="88"/>
        <v>1.4736284819541898E-2</v>
      </c>
      <c r="E1194">
        <f t="shared" si="89"/>
        <v>2.4239031533213402E-2</v>
      </c>
      <c r="F1194">
        <f t="shared" si="90"/>
        <v>3.428172486120161E-2</v>
      </c>
      <c r="G1194">
        <f t="shared" si="91"/>
        <v>-2.4239031533213402E-2</v>
      </c>
      <c r="H1194">
        <f t="shared" si="92"/>
        <v>-3.428172486120161E-2</v>
      </c>
    </row>
    <row r="1195" spans="1:8" x14ac:dyDescent="0.2">
      <c r="A1195" s="1">
        <v>46143</v>
      </c>
      <c r="B1195">
        <v>280.14</v>
      </c>
      <c r="C1195">
        <f t="shared" si="93"/>
        <v>3.1879977701486747E-2</v>
      </c>
      <c r="D1195">
        <f t="shared" si="88"/>
        <v>1.4655709257302384E-2</v>
      </c>
      <c r="E1195">
        <f t="shared" si="89"/>
        <v>2.4106496527420081E-2</v>
      </c>
      <c r="F1195">
        <f t="shared" si="90"/>
        <v>3.409427807328607E-2</v>
      </c>
      <c r="G1195">
        <f t="shared" si="91"/>
        <v>-2.4106496527420081E-2</v>
      </c>
      <c r="H1195">
        <f t="shared" si="92"/>
        <v>-3.409427807328607E-2</v>
      </c>
    </row>
    <row r="1196" spans="1:8" x14ac:dyDescent="0.2">
      <c r="A1196" s="1">
        <v>46146</v>
      </c>
      <c r="B1196">
        <v>276.83</v>
      </c>
      <c r="C1196">
        <f t="shared" si="93"/>
        <v>-1.1885878837346778E-2</v>
      </c>
      <c r="D1196">
        <f t="shared" si="88"/>
        <v>1.4527366440796214E-2</v>
      </c>
      <c r="E1196">
        <f t="shared" si="89"/>
        <v>2.3895391380196741E-2</v>
      </c>
      <c r="F1196">
        <f t="shared" si="90"/>
        <v>3.379570803495853E-2</v>
      </c>
      <c r="G1196">
        <f t="shared" si="91"/>
        <v>-2.3895391380196741E-2</v>
      </c>
      <c r="H1196">
        <f t="shared" si="92"/>
        <v>-3.379570803495853E-2</v>
      </c>
    </row>
    <row r="1197" spans="1:8" x14ac:dyDescent="0.2">
      <c r="A1197" s="1">
        <v>46147</v>
      </c>
      <c r="B1197">
        <v>284.18</v>
      </c>
      <c r="C1197">
        <f t="shared" si="93"/>
        <v>2.6204240836375379E-2</v>
      </c>
      <c r="D1197">
        <f t="shared" si="88"/>
        <v>1.4610675041263926E-2</v>
      </c>
      <c r="E1197">
        <f t="shared" si="89"/>
        <v>2.403242183383231E-2</v>
      </c>
      <c r="F1197">
        <f t="shared" si="90"/>
        <v>3.3989512820545909E-2</v>
      </c>
      <c r="G1197">
        <f t="shared" si="91"/>
        <v>-2.403242183383231E-2</v>
      </c>
      <c r="H1197">
        <f t="shared" si="92"/>
        <v>-3.3989512820545909E-2</v>
      </c>
    </row>
    <row r="1198" spans="1:8" x14ac:dyDescent="0.2">
      <c r="A1198" s="1">
        <v>46148</v>
      </c>
      <c r="B1198">
        <v>287.51</v>
      </c>
      <c r="C1198">
        <f t="shared" si="93"/>
        <v>1.1649802031270542E-2</v>
      </c>
      <c r="D1198">
        <f t="shared" si="88"/>
        <v>1.4601793787963566E-2</v>
      </c>
      <c r="E1198">
        <f t="shared" si="89"/>
        <v>2.4017813472129338E-2</v>
      </c>
      <c r="F1198">
        <f t="shared" si="90"/>
        <v>3.3968851935811797E-2</v>
      </c>
      <c r="G1198">
        <f t="shared" si="91"/>
        <v>-2.4017813472129338E-2</v>
      </c>
      <c r="H1198">
        <f t="shared" si="92"/>
        <v>-3.3968851935811797E-2</v>
      </c>
    </row>
    <row r="1199" spans="1:8" x14ac:dyDescent="0.2">
      <c r="A1199" s="1">
        <v>46149</v>
      </c>
      <c r="B1199">
        <v>287.44</v>
      </c>
      <c r="C1199">
        <f t="shared" si="93"/>
        <v>-2.4349943593654784E-4</v>
      </c>
      <c r="D1199">
        <f t="shared" si="88"/>
        <v>1.459910630393332E-2</v>
      </c>
      <c r="E1199">
        <f t="shared" si="89"/>
        <v>2.4013392954274813E-2</v>
      </c>
      <c r="F1199">
        <f t="shared" si="90"/>
        <v>3.3962599913051512E-2</v>
      </c>
      <c r="G1199">
        <f t="shared" si="91"/>
        <v>-2.4013392954274813E-2</v>
      </c>
      <c r="H1199">
        <f t="shared" si="92"/>
        <v>-3.3962599913051512E-2</v>
      </c>
    </row>
    <row r="1200" spans="1:8" x14ac:dyDescent="0.2">
      <c r="A1200" s="1">
        <v>46150</v>
      </c>
      <c r="B1200">
        <v>293.32</v>
      </c>
      <c r="C1200">
        <f t="shared" si="93"/>
        <v>2.0250020420335392E-2</v>
      </c>
      <c r="D1200">
        <f t="shared" si="88"/>
        <v>1.464524889646154E-2</v>
      </c>
      <c r="E1200">
        <f t="shared" si="89"/>
        <v>2.4089290764951799E-2</v>
      </c>
      <c r="F1200">
        <f t="shared" si="90"/>
        <v>3.406994363508227E-2</v>
      </c>
      <c r="G1200">
        <f t="shared" si="91"/>
        <v>-2.4089290764951799E-2</v>
      </c>
      <c r="H1200">
        <f t="shared" si="92"/>
        <v>-3.406994363508227E-2</v>
      </c>
    </row>
    <row r="1201" spans="1:8" x14ac:dyDescent="0.2">
      <c r="A1201" s="1">
        <v>46153</v>
      </c>
      <c r="B1201">
        <v>292.68</v>
      </c>
      <c r="C1201">
        <f t="shared" si="93"/>
        <v>-2.1843012097694796E-3</v>
      </c>
      <c r="D1201">
        <f t="shared" si="88"/>
        <v>1.4148639873300237E-2</v>
      </c>
      <c r="E1201">
        <f t="shared" si="89"/>
        <v>2.3272441612028103E-2</v>
      </c>
      <c r="F1201">
        <f t="shared" si="90"/>
        <v>3.2914658289821479E-2</v>
      </c>
      <c r="G1201">
        <f t="shared" si="91"/>
        <v>-2.3272441612028103E-2</v>
      </c>
      <c r="H1201">
        <f t="shared" si="92"/>
        <v>-3.2914658289821479E-2</v>
      </c>
    </row>
    <row r="1202" spans="1:8" x14ac:dyDescent="0.2">
      <c r="A1202" s="1">
        <v>46154</v>
      </c>
      <c r="B1202">
        <v>294.8</v>
      </c>
      <c r="C1202">
        <f t="shared" si="93"/>
        <v>7.2172982993524365E-3</v>
      </c>
      <c r="D1202">
        <f t="shared" si="88"/>
        <v>1.4142624571060653E-2</v>
      </c>
      <c r="E1202">
        <f t="shared" si="89"/>
        <v>2.3262547320322114E-2</v>
      </c>
      <c r="F1202">
        <f t="shared" si="90"/>
        <v>3.2900664604244706E-2</v>
      </c>
      <c r="G1202">
        <f t="shared" si="91"/>
        <v>-2.3262547320322114E-2</v>
      </c>
      <c r="H1202">
        <f t="shared" si="92"/>
        <v>-3.2900664604244706E-2</v>
      </c>
    </row>
    <row r="1203" spans="1:8" x14ac:dyDescent="0.2">
      <c r="A1203" s="1">
        <v>46155</v>
      </c>
      <c r="B1203">
        <v>298.87</v>
      </c>
      <c r="C1203">
        <f t="shared" si="93"/>
        <v>1.3711535921445313E-2</v>
      </c>
      <c r="D1203">
        <f t="shared" si="88"/>
        <v>1.4161853884922299E-2</v>
      </c>
      <c r="E1203">
        <f t="shared" si="89"/>
        <v>2.329417672697123E-2</v>
      </c>
      <c r="F1203">
        <f t="shared" si="90"/>
        <v>3.2945398677666014E-2</v>
      </c>
      <c r="G1203">
        <f t="shared" si="91"/>
        <v>-2.329417672697123E-2</v>
      </c>
      <c r="H1203">
        <f t="shared" si="92"/>
        <v>-3.2945398677666014E-2</v>
      </c>
    </row>
    <row r="1204" spans="1:8" x14ac:dyDescent="0.2">
      <c r="A1204" s="1">
        <v>46156</v>
      </c>
      <c r="B1204">
        <v>298.20999999999998</v>
      </c>
      <c r="C1204">
        <f t="shared" si="93"/>
        <v>-2.2107599276822857E-3</v>
      </c>
      <c r="D1204">
        <f t="shared" si="88"/>
        <v>1.4159333956574498E-2</v>
      </c>
      <c r="E1204">
        <f t="shared" si="89"/>
        <v>2.3290031813688692E-2</v>
      </c>
      <c r="F1204">
        <f t="shared" si="90"/>
        <v>3.2939536447711366E-2</v>
      </c>
      <c r="G1204">
        <f t="shared" si="91"/>
        <v>-2.3290031813688692E-2</v>
      </c>
      <c r="H1204">
        <f t="shared" si="92"/>
        <v>-3.2939536447711366E-2</v>
      </c>
    </row>
    <row r="1205" spans="1:8" x14ac:dyDescent="0.2">
      <c r="A1205" s="1">
        <v>46157</v>
      </c>
      <c r="B1205">
        <v>300.23</v>
      </c>
      <c r="C1205">
        <f t="shared" si="93"/>
        <v>6.7509112751578601E-3</v>
      </c>
      <c r="D1205">
        <f t="shared" si="88"/>
        <v>1.4162643146360182E-2</v>
      </c>
      <c r="E1205">
        <f t="shared" si="89"/>
        <v>2.3295474946509947E-2</v>
      </c>
      <c r="F1205">
        <f t="shared" si="90"/>
        <v>3.2947234774334096E-2</v>
      </c>
      <c r="G1205">
        <f t="shared" si="91"/>
        <v>-2.3295474946509947E-2</v>
      </c>
      <c r="H1205">
        <f t="shared" si="92"/>
        <v>-3.2947234774334096E-2</v>
      </c>
    </row>
    <row r="1206" spans="1:8" x14ac:dyDescent="0.2">
      <c r="A1206" s="1">
        <v>46160</v>
      </c>
      <c r="B1206">
        <v>297.83999999999997</v>
      </c>
      <c r="C1206">
        <f t="shared" si="93"/>
        <v>-7.9924180196410833E-3</v>
      </c>
      <c r="D1206">
        <f t="shared" si="88"/>
        <v>1.4150354254418213E-2</v>
      </c>
      <c r="E1206">
        <f t="shared" si="89"/>
        <v>2.3275261518027984E-2</v>
      </c>
      <c r="F1206">
        <f t="shared" si="90"/>
        <v>3.2918646536690577E-2</v>
      </c>
      <c r="G1206">
        <f t="shared" si="91"/>
        <v>-2.3275261518027984E-2</v>
      </c>
      <c r="H1206">
        <f t="shared" si="92"/>
        <v>-3.2918646536690577E-2</v>
      </c>
    </row>
    <row r="1207" spans="1:8" x14ac:dyDescent="0.2">
      <c r="A1207" s="1">
        <v>46161</v>
      </c>
      <c r="B1207">
        <v>298.97000000000003</v>
      </c>
      <c r="C1207">
        <f t="shared" si="93"/>
        <v>3.7868043442271168E-3</v>
      </c>
      <c r="D1207">
        <f t="shared" si="88"/>
        <v>1.4134875736814566E-2</v>
      </c>
      <c r="E1207">
        <f t="shared" si="89"/>
        <v>2.3249801622207793E-2</v>
      </c>
      <c r="F1207">
        <f t="shared" si="90"/>
        <v>3.2882638120170025E-2</v>
      </c>
      <c r="G1207">
        <f t="shared" si="91"/>
        <v>-2.3249801622207793E-2</v>
      </c>
      <c r="H1207">
        <f t="shared" si="92"/>
        <v>-3.2882638120170025E-2</v>
      </c>
    </row>
    <row r="1208" spans="1:8" x14ac:dyDescent="0.2">
      <c r="A1208" s="1">
        <v>46162</v>
      </c>
      <c r="B1208">
        <v>302.25</v>
      </c>
      <c r="C1208">
        <f t="shared" si="93"/>
        <v>1.0911255586213623E-2</v>
      </c>
      <c r="D1208">
        <f t="shared" si="88"/>
        <v>1.4059171031854495E-2</v>
      </c>
      <c r="E1208">
        <f t="shared" si="89"/>
        <v>2.3125278463676929E-2</v>
      </c>
      <c r="F1208">
        <f t="shared" si="90"/>
        <v>3.2706522640731275E-2</v>
      </c>
      <c r="G1208">
        <f t="shared" si="91"/>
        <v>-2.3125278463676929E-2</v>
      </c>
      <c r="H1208">
        <f t="shared" si="92"/>
        <v>-3.2706522640731275E-2</v>
      </c>
    </row>
    <row r="1209" spans="1:8" x14ac:dyDescent="0.2">
      <c r="A1209" s="1">
        <v>46163</v>
      </c>
      <c r="B1209">
        <v>304.99</v>
      </c>
      <c r="C1209">
        <f t="shared" si="93"/>
        <v>9.0244996897619837E-3</v>
      </c>
      <c r="D1209">
        <f t="shared" si="88"/>
        <v>1.4062980056607464E-2</v>
      </c>
      <c r="E1209">
        <f t="shared" si="89"/>
        <v>2.3131543751856998E-2</v>
      </c>
      <c r="F1209">
        <f t="shared" si="90"/>
        <v>3.2715383757367517E-2</v>
      </c>
      <c r="G1209">
        <f t="shared" si="91"/>
        <v>-2.3131543751856998E-2</v>
      </c>
      <c r="H1209">
        <f t="shared" si="92"/>
        <v>-3.2715383757367517E-2</v>
      </c>
    </row>
    <row r="1210" spans="1:8" x14ac:dyDescent="0.2">
      <c r="A1210" s="1">
        <v>46164</v>
      </c>
      <c r="B1210">
        <v>308.82</v>
      </c>
      <c r="C1210">
        <f t="shared" si="93"/>
        <v>1.2479593708054054E-2</v>
      </c>
      <c r="D1210">
        <f t="shared" si="88"/>
        <v>1.3928223408057109E-2</v>
      </c>
      <c r="E1210">
        <f t="shared" si="89"/>
        <v>2.2909888789733122E-2</v>
      </c>
      <c r="F1210">
        <f t="shared" si="90"/>
        <v>3.2401892914499526E-2</v>
      </c>
      <c r="G1210">
        <f t="shared" si="91"/>
        <v>-2.2909888789733122E-2</v>
      </c>
      <c r="H1210">
        <f t="shared" si="92"/>
        <v>-3.2401892914499526E-2</v>
      </c>
    </row>
    <row r="1211" spans="1:8" x14ac:dyDescent="0.2">
      <c r="A1211" s="1">
        <v>46168</v>
      </c>
      <c r="B1211">
        <v>308.33</v>
      </c>
      <c r="C1211">
        <f t="shared" si="93"/>
        <v>-1.5879449176507568E-3</v>
      </c>
      <c r="D1211">
        <f t="shared" si="88"/>
        <v>1.3852159046871019E-2</v>
      </c>
      <c r="E1211">
        <f t="shared" si="89"/>
        <v>2.2784774049354434E-2</v>
      </c>
      <c r="F1211">
        <f t="shared" si="90"/>
        <v>3.2224940749563995E-2</v>
      </c>
      <c r="G1211">
        <f t="shared" si="91"/>
        <v>-2.2784774049354434E-2</v>
      </c>
      <c r="H1211">
        <f t="shared" si="92"/>
        <v>-3.2224940749563995E-2</v>
      </c>
    </row>
    <row r="1212" spans="1:8" x14ac:dyDescent="0.2">
      <c r="A1212" s="1">
        <v>46169</v>
      </c>
      <c r="B1212">
        <v>310.85000000000002</v>
      </c>
      <c r="C1212">
        <f t="shared" si="93"/>
        <v>8.1398427402792906E-3</v>
      </c>
      <c r="D1212">
        <f t="shared" si="88"/>
        <v>1.3857998584093732E-2</v>
      </c>
      <c r="E1212">
        <f t="shared" si="89"/>
        <v>2.2794379233334931E-2</v>
      </c>
      <c r="F1212">
        <f t="shared" si="90"/>
        <v>3.2238525544567437E-2</v>
      </c>
      <c r="G1212">
        <f t="shared" si="91"/>
        <v>-2.2794379233334931E-2</v>
      </c>
      <c r="H1212">
        <f t="shared" si="92"/>
        <v>-3.2238525544567437E-2</v>
      </c>
    </row>
    <row r="1213" spans="1:8" x14ac:dyDescent="0.2">
      <c r="A1213" s="1">
        <v>46170</v>
      </c>
      <c r="B1213">
        <v>312.51</v>
      </c>
      <c r="C1213">
        <f t="shared" si="93"/>
        <v>5.3259879491204089E-3</v>
      </c>
      <c r="D1213">
        <f t="shared" ref="D1213:D1256" si="94">_xlfn.STDEV.S(C964:C1213)</f>
        <v>1.3857342174464979E-2</v>
      </c>
      <c r="E1213">
        <f t="shared" ref="E1213:E1256" si="95">_xlfn.NORM.S.INV(0.95)*D1213</f>
        <v>2.2793299535576312E-2</v>
      </c>
      <c r="F1213">
        <f t="shared" ref="F1213:F1256" si="96">_xlfn.NORM.S.INV(0.99)*D1213</f>
        <v>3.2236998507423086E-2</v>
      </c>
      <c r="G1213">
        <f t="shared" ref="G1213:G1256" si="97">-E1213</f>
        <v>-2.2793299535576312E-2</v>
      </c>
      <c r="H1213">
        <f t="shared" ref="H1213:H1256" si="98">-F1213</f>
        <v>-3.2236998507423086E-2</v>
      </c>
    </row>
    <row r="1214" spans="1:8" x14ac:dyDescent="0.2">
      <c r="A1214" s="1">
        <v>46171</v>
      </c>
      <c r="B1214">
        <v>312.06</v>
      </c>
      <c r="C1214">
        <f t="shared" si="93"/>
        <v>-1.4409916514309419E-3</v>
      </c>
      <c r="D1214">
        <f t="shared" si="94"/>
        <v>1.3857788952315762E-2</v>
      </c>
      <c r="E1214">
        <f t="shared" si="95"/>
        <v>2.2794034419744615E-2</v>
      </c>
      <c r="F1214">
        <f t="shared" si="96"/>
        <v>3.2238037868126422E-2</v>
      </c>
      <c r="G1214">
        <f t="shared" si="97"/>
        <v>-2.2794034419744615E-2</v>
      </c>
      <c r="H1214">
        <f t="shared" si="98"/>
        <v>-3.2238037868126422E-2</v>
      </c>
    </row>
    <row r="1215" spans="1:8" x14ac:dyDescent="0.2">
      <c r="A1215" s="1">
        <v>46174</v>
      </c>
      <c r="B1215">
        <v>306.31</v>
      </c>
      <c r="C1215">
        <f t="shared" si="93"/>
        <v>-1.859781597624946E-2</v>
      </c>
      <c r="D1215">
        <f t="shared" si="94"/>
        <v>1.3916635397451034E-2</v>
      </c>
      <c r="E1215">
        <f t="shared" si="95"/>
        <v>2.2890828208458568E-2</v>
      </c>
      <c r="F1215">
        <f t="shared" si="96"/>
        <v>3.2374935170661721E-2</v>
      </c>
      <c r="G1215">
        <f t="shared" si="97"/>
        <v>-2.2890828208458568E-2</v>
      </c>
      <c r="H1215">
        <f t="shared" si="98"/>
        <v>-3.2374935170661721E-2</v>
      </c>
    </row>
    <row r="1216" spans="1:8" x14ac:dyDescent="0.2">
      <c r="A1216" s="1">
        <v>46175</v>
      </c>
      <c r="B1216">
        <v>315.2</v>
      </c>
      <c r="C1216">
        <f t="shared" si="93"/>
        <v>2.8609696946937397E-2</v>
      </c>
      <c r="D1216">
        <f t="shared" si="94"/>
        <v>1.4015333343601041E-2</v>
      </c>
      <c r="E1216">
        <f t="shared" si="95"/>
        <v>2.3053171883156066E-2</v>
      </c>
      <c r="F1216">
        <f t="shared" si="96"/>
        <v>3.2604540927859992E-2</v>
      </c>
      <c r="G1216">
        <f t="shared" si="97"/>
        <v>-2.3053171883156066E-2</v>
      </c>
      <c r="H1216">
        <f t="shared" si="98"/>
        <v>-3.2604540927859992E-2</v>
      </c>
    </row>
    <row r="1217" spans="1:8" x14ac:dyDescent="0.2">
      <c r="A1217" s="1">
        <v>46176</v>
      </c>
      <c r="B1217">
        <v>310.26</v>
      </c>
      <c r="C1217">
        <f t="shared" si="93"/>
        <v>-1.5796702347538986E-2</v>
      </c>
      <c r="D1217">
        <f t="shared" si="94"/>
        <v>1.4057092811137741E-2</v>
      </c>
      <c r="E1217">
        <f t="shared" si="95"/>
        <v>2.3121860094793369E-2</v>
      </c>
      <c r="F1217">
        <f t="shared" si="96"/>
        <v>3.270168797638507E-2</v>
      </c>
      <c r="G1217">
        <f t="shared" si="97"/>
        <v>-2.3121860094793369E-2</v>
      </c>
      <c r="H1217">
        <f t="shared" si="98"/>
        <v>-3.270168797638507E-2</v>
      </c>
    </row>
    <row r="1218" spans="1:8" x14ac:dyDescent="0.2">
      <c r="A1218" s="1">
        <v>46177</v>
      </c>
      <c r="B1218">
        <v>311.23</v>
      </c>
      <c r="C1218">
        <f t="shared" si="93"/>
        <v>3.1215330500486893E-3</v>
      </c>
      <c r="D1218">
        <f t="shared" si="94"/>
        <v>1.4034686303827792E-2</v>
      </c>
      <c r="E1218">
        <f t="shared" si="95"/>
        <v>2.3085004669977285E-2</v>
      </c>
      <c r="F1218">
        <f t="shared" si="96"/>
        <v>3.2649562645739892E-2</v>
      </c>
      <c r="G1218">
        <f t="shared" si="97"/>
        <v>-2.3085004669977285E-2</v>
      </c>
      <c r="H1218">
        <f t="shared" si="98"/>
        <v>-3.2649562645739892E-2</v>
      </c>
    </row>
    <row r="1219" spans="1:8" x14ac:dyDescent="0.2">
      <c r="A1219" s="1">
        <v>46178</v>
      </c>
      <c r="B1219">
        <v>307.33999999999997</v>
      </c>
      <c r="C1219">
        <f t="shared" ref="C1219:C1256" si="99">LN(B1219/B1218)</f>
        <v>-1.2577562059047523E-2</v>
      </c>
      <c r="D1219">
        <f t="shared" si="94"/>
        <v>1.4033587860147842E-2</v>
      </c>
      <c r="E1219">
        <f t="shared" si="95"/>
        <v>2.3083197890906317E-2</v>
      </c>
      <c r="F1219">
        <f t="shared" si="96"/>
        <v>3.2647007283620286E-2</v>
      </c>
      <c r="G1219">
        <f t="shared" si="97"/>
        <v>-2.3083197890906317E-2</v>
      </c>
      <c r="H1219">
        <f t="shared" si="98"/>
        <v>-3.2647007283620286E-2</v>
      </c>
    </row>
    <row r="1220" spans="1:8" x14ac:dyDescent="0.2">
      <c r="A1220" s="1">
        <v>46181</v>
      </c>
      <c r="B1220">
        <v>301.54000000000002</v>
      </c>
      <c r="C1220">
        <f t="shared" si="99"/>
        <v>-1.9051949276413717E-2</v>
      </c>
      <c r="D1220">
        <f t="shared" si="94"/>
        <v>1.4067445489249779E-2</v>
      </c>
      <c r="E1220">
        <f t="shared" si="95"/>
        <v>2.3138888734934616E-2</v>
      </c>
      <c r="F1220">
        <f t="shared" si="96"/>
        <v>3.2725771907101638E-2</v>
      </c>
      <c r="G1220">
        <f t="shared" si="97"/>
        <v>-2.3138888734934616E-2</v>
      </c>
      <c r="H1220">
        <f t="shared" si="98"/>
        <v>-3.2725771907101638E-2</v>
      </c>
    </row>
    <row r="1221" spans="1:8" x14ac:dyDescent="0.2">
      <c r="A1221" s="1">
        <v>46182</v>
      </c>
      <c r="B1221">
        <v>290.55</v>
      </c>
      <c r="C1221">
        <f t="shared" si="99"/>
        <v>-3.7126998829657858E-2</v>
      </c>
      <c r="D1221">
        <f t="shared" si="94"/>
        <v>1.4276419074035976E-2</v>
      </c>
      <c r="E1221">
        <f t="shared" si="95"/>
        <v>2.3482619693807244E-2</v>
      </c>
      <c r="F1221">
        <f t="shared" si="96"/>
        <v>3.3211917161799699E-2</v>
      </c>
      <c r="G1221">
        <f t="shared" si="97"/>
        <v>-2.3482619693807244E-2</v>
      </c>
      <c r="H1221">
        <f t="shared" si="98"/>
        <v>-3.3211917161799699E-2</v>
      </c>
    </row>
    <row r="1222" spans="1:8" x14ac:dyDescent="0.2">
      <c r="A1222" s="1">
        <v>46183</v>
      </c>
      <c r="B1222">
        <v>291.58</v>
      </c>
      <c r="C1222">
        <f t="shared" si="99"/>
        <v>3.5387321555611449E-3</v>
      </c>
      <c r="D1222">
        <f t="shared" si="94"/>
        <v>1.4215593963278534E-2</v>
      </c>
      <c r="E1222">
        <f t="shared" si="95"/>
        <v>2.3382571289768141E-2</v>
      </c>
      <c r="F1222">
        <f t="shared" si="96"/>
        <v>3.3070416794700824E-2</v>
      </c>
      <c r="G1222">
        <f t="shared" si="97"/>
        <v>-2.3382571289768141E-2</v>
      </c>
      <c r="H1222">
        <f t="shared" si="98"/>
        <v>-3.3070416794700824E-2</v>
      </c>
    </row>
    <row r="1223" spans="1:8" x14ac:dyDescent="0.2">
      <c r="A1223" s="1">
        <v>46184</v>
      </c>
      <c r="B1223">
        <v>295.63</v>
      </c>
      <c r="C1223">
        <f t="shared" si="99"/>
        <v>1.3794261745732027E-2</v>
      </c>
      <c r="D1223">
        <f t="shared" si="94"/>
        <v>1.4236653251920495E-2</v>
      </c>
      <c r="E1223">
        <f t="shared" si="95"/>
        <v>2.3417210737071887E-2</v>
      </c>
      <c r="F1223">
        <f t="shared" si="96"/>
        <v>3.3119408026061864E-2</v>
      </c>
      <c r="G1223">
        <f t="shared" si="97"/>
        <v>-2.3417210737071887E-2</v>
      </c>
      <c r="H1223">
        <f t="shared" si="98"/>
        <v>-3.3119408026061864E-2</v>
      </c>
    </row>
    <row r="1224" spans="1:8" x14ac:dyDescent="0.2">
      <c r="A1224" s="1">
        <v>46185</v>
      </c>
      <c r="B1224">
        <v>291.13</v>
      </c>
      <c r="C1224">
        <f t="shared" si="99"/>
        <v>-1.5338769612274147E-2</v>
      </c>
      <c r="D1224">
        <f t="shared" si="94"/>
        <v>1.4243238310325639E-2</v>
      </c>
      <c r="E1224">
        <f t="shared" si="95"/>
        <v>2.3428042194273274E-2</v>
      </c>
      <c r="F1224">
        <f t="shared" si="96"/>
        <v>3.3134727162683106E-2</v>
      </c>
      <c r="G1224">
        <f t="shared" si="97"/>
        <v>-2.3428042194273274E-2</v>
      </c>
      <c r="H1224">
        <f t="shared" si="98"/>
        <v>-3.3134727162683106E-2</v>
      </c>
    </row>
    <row r="1225" spans="1:8" x14ac:dyDescent="0.2">
      <c r="A1225" s="1">
        <v>46188</v>
      </c>
      <c r="B1225">
        <v>296.42</v>
      </c>
      <c r="C1225">
        <f t="shared" si="99"/>
        <v>1.8007464718635471E-2</v>
      </c>
      <c r="D1225">
        <f t="shared" si="94"/>
        <v>1.4271264417642898E-2</v>
      </c>
      <c r="E1225">
        <f t="shared" si="95"/>
        <v>2.3474141038543402E-2</v>
      </c>
      <c r="F1225">
        <f t="shared" si="96"/>
        <v>3.3199925637858251E-2</v>
      </c>
      <c r="G1225">
        <f t="shared" si="97"/>
        <v>-2.3474141038543402E-2</v>
      </c>
      <c r="H1225">
        <f t="shared" si="98"/>
        <v>-3.3199925637858251E-2</v>
      </c>
    </row>
    <row r="1226" spans="1:8" x14ac:dyDescent="0.2">
      <c r="A1226" s="1">
        <v>46189</v>
      </c>
      <c r="B1226">
        <v>299.24</v>
      </c>
      <c r="C1226">
        <f t="shared" si="99"/>
        <v>9.4685594754351596E-3</v>
      </c>
      <c r="D1226">
        <f t="shared" si="94"/>
        <v>1.4244785679165962E-2</v>
      </c>
      <c r="E1226">
        <f t="shared" si="95"/>
        <v>2.3430587389522514E-2</v>
      </c>
      <c r="F1226">
        <f t="shared" si="96"/>
        <v>3.3138326880895151E-2</v>
      </c>
      <c r="G1226">
        <f t="shared" si="97"/>
        <v>-2.3430587389522514E-2</v>
      </c>
      <c r="H1226">
        <f t="shared" si="98"/>
        <v>-3.3138326880895151E-2</v>
      </c>
    </row>
    <row r="1227" spans="1:8" x14ac:dyDescent="0.2">
      <c r="A1227" s="1">
        <v>46190</v>
      </c>
      <c r="B1227">
        <v>295.95</v>
      </c>
      <c r="C1227">
        <f t="shared" si="99"/>
        <v>-1.105540586747018E-2</v>
      </c>
      <c r="D1227">
        <f t="shared" si="94"/>
        <v>1.426626425589321E-2</v>
      </c>
      <c r="E1227">
        <f t="shared" si="95"/>
        <v>2.3465916504354083E-2</v>
      </c>
      <c r="F1227">
        <f t="shared" si="96"/>
        <v>3.3188293522202005E-2</v>
      </c>
      <c r="G1227">
        <f t="shared" si="97"/>
        <v>-2.3465916504354083E-2</v>
      </c>
      <c r="H1227">
        <f t="shared" si="98"/>
        <v>-3.3188293522202005E-2</v>
      </c>
    </row>
    <row r="1228" spans="1:8" x14ac:dyDescent="0.2">
      <c r="A1228" s="1">
        <v>46191</v>
      </c>
      <c r="B1228">
        <v>298.01</v>
      </c>
      <c r="C1228">
        <f t="shared" si="99"/>
        <v>6.9365218526251824E-3</v>
      </c>
      <c r="D1228">
        <f t="shared" si="94"/>
        <v>1.4210322083811216E-2</v>
      </c>
      <c r="E1228">
        <f t="shared" si="95"/>
        <v>2.337389981970547E-2</v>
      </c>
      <c r="F1228">
        <f t="shared" si="96"/>
        <v>3.3058152569109829E-2</v>
      </c>
      <c r="G1228">
        <f t="shared" si="97"/>
        <v>-2.337389981970547E-2</v>
      </c>
      <c r="H1228">
        <f t="shared" si="98"/>
        <v>-3.3058152569109829E-2</v>
      </c>
    </row>
    <row r="1229" spans="1:8" x14ac:dyDescent="0.2">
      <c r="A1229" s="1">
        <v>46195</v>
      </c>
      <c r="B1229">
        <v>297.01</v>
      </c>
      <c r="C1229">
        <f t="shared" si="99"/>
        <v>-3.3612347198123727E-3</v>
      </c>
      <c r="D1229">
        <f t="shared" si="94"/>
        <v>1.4213648557953425E-2</v>
      </c>
      <c r="E1229">
        <f t="shared" si="95"/>
        <v>2.3379371382763244E-2</v>
      </c>
      <c r="F1229">
        <f t="shared" si="96"/>
        <v>3.3065891105158611E-2</v>
      </c>
      <c r="G1229">
        <f t="shared" si="97"/>
        <v>-2.3379371382763244E-2</v>
      </c>
      <c r="H1229">
        <f t="shared" si="98"/>
        <v>-3.3065891105158611E-2</v>
      </c>
    </row>
    <row r="1230" spans="1:8" x14ac:dyDescent="0.2">
      <c r="A1230" s="1">
        <v>46196</v>
      </c>
      <c r="B1230">
        <v>294.3</v>
      </c>
      <c r="C1230">
        <f t="shared" si="99"/>
        <v>-9.1661530301196201E-3</v>
      </c>
      <c r="D1230">
        <f t="shared" si="94"/>
        <v>1.4221873907901108E-2</v>
      </c>
      <c r="E1230">
        <f t="shared" si="95"/>
        <v>2.3392900879457636E-2</v>
      </c>
      <c r="F1230">
        <f t="shared" si="96"/>
        <v>3.3085026130522645E-2</v>
      </c>
      <c r="G1230">
        <f t="shared" si="97"/>
        <v>-2.3392900879457636E-2</v>
      </c>
      <c r="H1230">
        <f t="shared" si="98"/>
        <v>-3.3085026130522645E-2</v>
      </c>
    </row>
    <row r="1231" spans="1:8" x14ac:dyDescent="0.2">
      <c r="A1231" s="1">
        <v>46197</v>
      </c>
      <c r="B1231">
        <v>293.08</v>
      </c>
      <c r="C1231">
        <f t="shared" si="99"/>
        <v>-4.1540459476640439E-3</v>
      </c>
      <c r="D1231">
        <f t="shared" si="94"/>
        <v>1.42232579262029E-2</v>
      </c>
      <c r="E1231">
        <f t="shared" si="95"/>
        <v>2.3395177386981107E-2</v>
      </c>
      <c r="F1231">
        <f t="shared" si="96"/>
        <v>3.3088245838556657E-2</v>
      </c>
      <c r="G1231">
        <f t="shared" si="97"/>
        <v>-2.3395177386981107E-2</v>
      </c>
      <c r="H1231">
        <f t="shared" si="98"/>
        <v>-3.3088245838556657E-2</v>
      </c>
    </row>
    <row r="1232" spans="1:8" x14ac:dyDescent="0.2">
      <c r="A1232" s="1">
        <v>46198</v>
      </c>
      <c r="B1232">
        <v>275.14999999999998</v>
      </c>
      <c r="C1232">
        <f t="shared" si="99"/>
        <v>-6.3129205785995374E-2</v>
      </c>
      <c r="D1232">
        <f t="shared" si="94"/>
        <v>1.4796901229883388E-2</v>
      </c>
      <c r="E1232">
        <f t="shared" si="95"/>
        <v>2.433873665561638E-2</v>
      </c>
      <c r="F1232">
        <f t="shared" si="96"/>
        <v>3.442273971853152E-2</v>
      </c>
      <c r="G1232">
        <f t="shared" si="97"/>
        <v>-2.433873665561638E-2</v>
      </c>
      <c r="H1232">
        <f t="shared" si="98"/>
        <v>-3.442273971853152E-2</v>
      </c>
    </row>
    <row r="1233" spans="1:8" x14ac:dyDescent="0.2">
      <c r="A1233" s="1">
        <v>46199</v>
      </c>
      <c r="B1233">
        <v>283.77999999999997</v>
      </c>
      <c r="C1233">
        <f t="shared" si="99"/>
        <v>3.0882886573399503E-2</v>
      </c>
      <c r="D1233">
        <f t="shared" si="94"/>
        <v>1.4914841324199618E-2</v>
      </c>
      <c r="E1233">
        <f t="shared" si="95"/>
        <v>2.4532730847515432E-2</v>
      </c>
      <c r="F1233">
        <f t="shared" si="96"/>
        <v>3.4697109406208258E-2</v>
      </c>
      <c r="G1233">
        <f t="shared" si="97"/>
        <v>-2.4532730847515432E-2</v>
      </c>
      <c r="H1233">
        <f t="shared" si="98"/>
        <v>-3.4697109406208258E-2</v>
      </c>
    </row>
    <row r="1234" spans="1:8" x14ac:dyDescent="0.2">
      <c r="A1234" s="1">
        <v>46202</v>
      </c>
      <c r="B1234">
        <v>281.74</v>
      </c>
      <c r="C1234">
        <f t="shared" si="99"/>
        <v>-7.2146302470063942E-3</v>
      </c>
      <c r="D1234">
        <f t="shared" si="94"/>
        <v>1.4877012306997501E-2</v>
      </c>
      <c r="E1234">
        <f t="shared" si="95"/>
        <v>2.4470507651366519E-2</v>
      </c>
      <c r="F1234">
        <f t="shared" si="96"/>
        <v>3.4609105952463061E-2</v>
      </c>
      <c r="G1234">
        <f t="shared" si="97"/>
        <v>-2.4470507651366519E-2</v>
      </c>
      <c r="H1234">
        <f t="shared" si="98"/>
        <v>-3.4609105952463061E-2</v>
      </c>
    </row>
    <row r="1235" spans="1:8" x14ac:dyDescent="0.2">
      <c r="A1235" s="1">
        <v>46203</v>
      </c>
      <c r="B1235">
        <v>289.36</v>
      </c>
      <c r="C1235">
        <f t="shared" si="99"/>
        <v>2.6686927811681731E-2</v>
      </c>
      <c r="D1235">
        <f t="shared" si="94"/>
        <v>1.4945872649341076E-2</v>
      </c>
      <c r="E1235">
        <f t="shared" si="95"/>
        <v>2.4583772835223467E-2</v>
      </c>
      <c r="F1235">
        <f t="shared" si="96"/>
        <v>3.476929906347976E-2</v>
      </c>
      <c r="G1235">
        <f t="shared" si="97"/>
        <v>-2.4583772835223467E-2</v>
      </c>
      <c r="H1235">
        <f t="shared" si="98"/>
        <v>-3.476929906347976E-2</v>
      </c>
    </row>
    <row r="1236" spans="1:8" x14ac:dyDescent="0.2">
      <c r="A1236" s="1">
        <v>46204</v>
      </c>
      <c r="B1236">
        <v>294.38</v>
      </c>
      <c r="C1236">
        <f t="shared" si="99"/>
        <v>1.7199862120598052E-2</v>
      </c>
      <c r="D1236">
        <f t="shared" si="94"/>
        <v>1.4922354545485472E-2</v>
      </c>
      <c r="E1236">
        <f t="shared" si="95"/>
        <v>2.4545088996797554E-2</v>
      </c>
      <c r="F1236">
        <f t="shared" si="96"/>
        <v>3.4714587772573802E-2</v>
      </c>
      <c r="G1236">
        <f t="shared" si="97"/>
        <v>-2.4545088996797554E-2</v>
      </c>
      <c r="H1236">
        <f t="shared" si="98"/>
        <v>-3.4714587772573802E-2</v>
      </c>
    </row>
    <row r="1237" spans="1:8" x14ac:dyDescent="0.2">
      <c r="A1237" s="1">
        <v>46205</v>
      </c>
      <c r="B1237">
        <v>308.63</v>
      </c>
      <c r="C1237">
        <f t="shared" si="99"/>
        <v>4.7271698660718856E-2</v>
      </c>
      <c r="D1237">
        <f t="shared" si="94"/>
        <v>1.5200938921301395E-2</v>
      </c>
      <c r="E1237">
        <f t="shared" si="95"/>
        <v>2.5003319517770389E-2</v>
      </c>
      <c r="F1237">
        <f t="shared" si="96"/>
        <v>3.5362671942994174E-2</v>
      </c>
      <c r="G1237">
        <f t="shared" si="97"/>
        <v>-2.5003319517770389E-2</v>
      </c>
      <c r="H1237">
        <f t="shared" si="98"/>
        <v>-3.5362671942994174E-2</v>
      </c>
    </row>
    <row r="1238" spans="1:8" x14ac:dyDescent="0.2">
      <c r="A1238" s="1">
        <v>46209</v>
      </c>
      <c r="B1238">
        <v>312.66000000000003</v>
      </c>
      <c r="C1238">
        <f t="shared" si="99"/>
        <v>1.297318972401872E-2</v>
      </c>
      <c r="D1238">
        <f t="shared" si="94"/>
        <v>1.5172726651089253E-2</v>
      </c>
      <c r="E1238">
        <f t="shared" si="95"/>
        <v>2.4956914462787413E-2</v>
      </c>
      <c r="F1238">
        <f t="shared" si="96"/>
        <v>3.5297040388164287E-2</v>
      </c>
      <c r="G1238">
        <f t="shared" si="97"/>
        <v>-2.4956914462787413E-2</v>
      </c>
      <c r="H1238">
        <f t="shared" si="98"/>
        <v>-3.5297040388164287E-2</v>
      </c>
    </row>
    <row r="1239" spans="1:8" x14ac:dyDescent="0.2">
      <c r="A1239" s="1">
        <v>46210</v>
      </c>
      <c r="B1239">
        <v>310.66000000000003</v>
      </c>
      <c r="C1239">
        <f t="shared" si="99"/>
        <v>-6.4172715894170937E-3</v>
      </c>
      <c r="D1239">
        <f t="shared" si="94"/>
        <v>1.5180988124153735E-2</v>
      </c>
      <c r="E1239">
        <f t="shared" si="95"/>
        <v>2.4970503376721489E-2</v>
      </c>
      <c r="F1239">
        <f t="shared" si="96"/>
        <v>3.5316259448464296E-2</v>
      </c>
      <c r="G1239">
        <f t="shared" si="97"/>
        <v>-2.4970503376721489E-2</v>
      </c>
      <c r="H1239">
        <f t="shared" si="98"/>
        <v>-3.5316259448464296E-2</v>
      </c>
    </row>
    <row r="1240" spans="1:8" x14ac:dyDescent="0.2">
      <c r="A1240" s="1">
        <v>46211</v>
      </c>
      <c r="B1240">
        <v>313.39</v>
      </c>
      <c r="C1240">
        <f t="shared" si="99"/>
        <v>8.7493547484261865E-3</v>
      </c>
      <c r="D1240">
        <f t="shared" si="94"/>
        <v>1.5185883280741269E-2</v>
      </c>
      <c r="E1240">
        <f t="shared" si="95"/>
        <v>2.4978555192788989E-2</v>
      </c>
      <c r="F1240">
        <f t="shared" si="96"/>
        <v>3.5327647285584803E-2</v>
      </c>
      <c r="G1240">
        <f t="shared" si="97"/>
        <v>-2.4978555192788989E-2</v>
      </c>
      <c r="H1240">
        <f t="shared" si="98"/>
        <v>-3.5327647285584803E-2</v>
      </c>
    </row>
    <row r="1241" spans="1:8" x14ac:dyDescent="0.2">
      <c r="A1241" s="1">
        <v>46212</v>
      </c>
      <c r="B1241">
        <v>316.22000000000003</v>
      </c>
      <c r="C1241">
        <f t="shared" si="99"/>
        <v>8.9897525738118558E-3</v>
      </c>
      <c r="D1241">
        <f t="shared" si="94"/>
        <v>1.519054955868345E-2</v>
      </c>
      <c r="E1241">
        <f t="shared" si="95"/>
        <v>2.4986230536986547E-2</v>
      </c>
      <c r="F1241">
        <f t="shared" si="96"/>
        <v>3.5338502671355278E-2</v>
      </c>
      <c r="G1241">
        <f t="shared" si="97"/>
        <v>-2.4986230536986547E-2</v>
      </c>
      <c r="H1241">
        <f t="shared" si="98"/>
        <v>-3.5338502671355278E-2</v>
      </c>
    </row>
    <row r="1242" spans="1:8" x14ac:dyDescent="0.2">
      <c r="A1242" s="1">
        <v>46213</v>
      </c>
      <c r="B1242">
        <v>315.32</v>
      </c>
      <c r="C1242">
        <f t="shared" si="99"/>
        <v>-2.8501776902917029E-3</v>
      </c>
      <c r="D1242">
        <f t="shared" si="94"/>
        <v>1.5185720572313117E-2</v>
      </c>
      <c r="E1242">
        <f t="shared" si="95"/>
        <v>2.4978287561240806E-2</v>
      </c>
      <c r="F1242">
        <f t="shared" si="96"/>
        <v>3.5327268769178882E-2</v>
      </c>
      <c r="G1242">
        <f t="shared" si="97"/>
        <v>-2.4978287561240806E-2</v>
      </c>
      <c r="H1242">
        <f t="shared" si="98"/>
        <v>-3.5327268769178882E-2</v>
      </c>
    </row>
    <row r="1243" spans="1:8" x14ac:dyDescent="0.2">
      <c r="A1243" s="1">
        <v>46216</v>
      </c>
      <c r="B1243">
        <v>317.31</v>
      </c>
      <c r="C1243">
        <f t="shared" si="99"/>
        <v>6.2912178163637743E-3</v>
      </c>
      <c r="D1243">
        <f t="shared" si="94"/>
        <v>1.5163520480972336E-2</v>
      </c>
      <c r="E1243">
        <f t="shared" si="95"/>
        <v>2.4941771660480269E-2</v>
      </c>
      <c r="F1243">
        <f t="shared" si="96"/>
        <v>3.5275623633884742E-2</v>
      </c>
      <c r="G1243">
        <f t="shared" si="97"/>
        <v>-2.4941771660480269E-2</v>
      </c>
      <c r="H1243">
        <f t="shared" si="98"/>
        <v>-3.5275623633884742E-2</v>
      </c>
    </row>
    <row r="1244" spans="1:8" x14ac:dyDescent="0.2">
      <c r="A1244" s="1">
        <v>46217</v>
      </c>
      <c r="B1244">
        <v>314.86</v>
      </c>
      <c r="C1244">
        <f t="shared" si="99"/>
        <v>-7.7511184215881841E-3</v>
      </c>
      <c r="D1244">
        <f t="shared" si="94"/>
        <v>1.5175207203259626E-2</v>
      </c>
      <c r="E1244">
        <f t="shared" si="95"/>
        <v>2.4960994608021692E-2</v>
      </c>
      <c r="F1244">
        <f t="shared" si="96"/>
        <v>3.5302811015432284E-2</v>
      </c>
      <c r="G1244">
        <f t="shared" si="97"/>
        <v>-2.4960994608021692E-2</v>
      </c>
      <c r="H1244">
        <f t="shared" si="98"/>
        <v>-3.5302811015432284E-2</v>
      </c>
    </row>
    <row r="1245" spans="1:8" x14ac:dyDescent="0.2">
      <c r="A1245" s="1">
        <v>46218</v>
      </c>
      <c r="B1245">
        <v>327.5</v>
      </c>
      <c r="C1245">
        <f t="shared" si="99"/>
        <v>3.9359959488823669E-2</v>
      </c>
      <c r="D1245">
        <f t="shared" si="94"/>
        <v>1.5360138484705171E-2</v>
      </c>
      <c r="E1245">
        <f t="shared" si="95"/>
        <v>2.5265179497044179E-2</v>
      </c>
      <c r="F1245">
        <f t="shared" si="96"/>
        <v>3.5733025508866777E-2</v>
      </c>
      <c r="G1245">
        <f t="shared" si="97"/>
        <v>-2.5265179497044179E-2</v>
      </c>
      <c r="H1245">
        <f t="shared" si="98"/>
        <v>-3.5733025508866777E-2</v>
      </c>
    </row>
    <row r="1246" spans="1:8" x14ac:dyDescent="0.2">
      <c r="A1246" s="1">
        <v>46219</v>
      </c>
      <c r="B1246">
        <v>333.26</v>
      </c>
      <c r="C1246">
        <f t="shared" si="99"/>
        <v>1.7434911035170787E-2</v>
      </c>
      <c r="D1246">
        <f t="shared" si="94"/>
        <v>1.5391159606052316E-2</v>
      </c>
      <c r="E1246">
        <f t="shared" si="95"/>
        <v>2.5316204701004132E-2</v>
      </c>
      <c r="F1246">
        <f t="shared" si="96"/>
        <v>3.5805191428563067E-2</v>
      </c>
      <c r="G1246">
        <f t="shared" si="97"/>
        <v>-2.5316204701004132E-2</v>
      </c>
      <c r="H1246">
        <f t="shared" si="98"/>
        <v>-3.5805191428563067E-2</v>
      </c>
    </row>
    <row r="1247" spans="1:8" x14ac:dyDescent="0.2">
      <c r="A1247" s="1">
        <v>46220</v>
      </c>
      <c r="B1247">
        <v>333.74</v>
      </c>
      <c r="C1247">
        <f t="shared" si="99"/>
        <v>1.4392806082794219E-3</v>
      </c>
      <c r="D1247">
        <f t="shared" si="94"/>
        <v>1.5389434260425832E-2</v>
      </c>
      <c r="E1247">
        <f t="shared" si="95"/>
        <v>2.5313366759992666E-2</v>
      </c>
      <c r="F1247">
        <f t="shared" si="96"/>
        <v>3.5801177674432916E-2</v>
      </c>
      <c r="G1247">
        <f t="shared" si="97"/>
        <v>-2.5313366759992666E-2</v>
      </c>
      <c r="H1247">
        <f t="shared" si="98"/>
        <v>-3.5801177674432916E-2</v>
      </c>
    </row>
    <row r="1248" spans="1:8" x14ac:dyDescent="0.2">
      <c r="A1248" s="1">
        <v>46223</v>
      </c>
      <c r="B1248">
        <v>326.58999999999997</v>
      </c>
      <c r="C1248">
        <f t="shared" si="99"/>
        <v>-2.1656685144717837E-2</v>
      </c>
      <c r="D1248">
        <f t="shared" si="94"/>
        <v>1.5458530309182978E-2</v>
      </c>
      <c r="E1248">
        <f t="shared" si="95"/>
        <v>2.5427019646398874E-2</v>
      </c>
      <c r="F1248">
        <f t="shared" si="96"/>
        <v>3.5961919120563721E-2</v>
      </c>
      <c r="G1248">
        <f t="shared" si="97"/>
        <v>-2.5427019646398874E-2</v>
      </c>
      <c r="H1248">
        <f t="shared" si="98"/>
        <v>-3.5961919120563721E-2</v>
      </c>
    </row>
    <row r="1249" spans="1:8" x14ac:dyDescent="0.2">
      <c r="A1249" s="1">
        <v>46224</v>
      </c>
      <c r="B1249">
        <v>327.74</v>
      </c>
      <c r="C1249">
        <f t="shared" si="99"/>
        <v>3.5150495440390526E-3</v>
      </c>
      <c r="D1249">
        <f t="shared" si="94"/>
        <v>1.5452065079001832E-2</v>
      </c>
      <c r="E1249">
        <f t="shared" si="95"/>
        <v>2.5416385289086341E-2</v>
      </c>
      <c r="F1249">
        <f t="shared" si="96"/>
        <v>3.5946878746076626E-2</v>
      </c>
      <c r="G1249">
        <f t="shared" si="97"/>
        <v>-2.5416385289086341E-2</v>
      </c>
      <c r="H1249">
        <f t="shared" si="98"/>
        <v>-3.5946878746076626E-2</v>
      </c>
    </row>
    <row r="1250" spans="1:8" x14ac:dyDescent="0.2">
      <c r="A1250" s="1">
        <v>46225</v>
      </c>
      <c r="B1250">
        <v>325.89</v>
      </c>
      <c r="C1250">
        <f t="shared" si="99"/>
        <v>-5.6607100043088191E-3</v>
      </c>
      <c r="D1250">
        <f t="shared" si="94"/>
        <v>1.5458034926570396E-2</v>
      </c>
      <c r="E1250">
        <f t="shared" si="95"/>
        <v>2.5426204814511841E-2</v>
      </c>
      <c r="F1250">
        <f t="shared" si="96"/>
        <v>3.5960766688276101E-2</v>
      </c>
      <c r="G1250">
        <f t="shared" si="97"/>
        <v>-2.5426204814511841E-2</v>
      </c>
      <c r="H1250">
        <f t="shared" si="98"/>
        <v>-3.5960766688276101E-2</v>
      </c>
    </row>
    <row r="1251" spans="1:8" x14ac:dyDescent="0.2">
      <c r="A1251" s="1">
        <v>46226</v>
      </c>
      <c r="B1251">
        <v>321.66000000000003</v>
      </c>
      <c r="C1251">
        <f t="shared" si="99"/>
        <v>-1.3064814046267722E-2</v>
      </c>
      <c r="D1251">
        <f t="shared" si="94"/>
        <v>1.5484632083961345E-2</v>
      </c>
      <c r="E1251">
        <f t="shared" si="95"/>
        <v>2.546995324531294E-2</v>
      </c>
      <c r="F1251">
        <f t="shared" si="96"/>
        <v>3.6022640928828065E-2</v>
      </c>
      <c r="G1251">
        <f t="shared" si="97"/>
        <v>-2.546995324531294E-2</v>
      </c>
      <c r="H1251">
        <f t="shared" si="98"/>
        <v>-3.6022640928828065E-2</v>
      </c>
    </row>
    <row r="1252" spans="1:8" x14ac:dyDescent="0.2">
      <c r="A1252" s="1">
        <v>46227</v>
      </c>
      <c r="B1252">
        <v>333.02</v>
      </c>
      <c r="C1252">
        <f t="shared" si="99"/>
        <v>3.4707461169469225E-2</v>
      </c>
      <c r="D1252">
        <f t="shared" si="94"/>
        <v>1.5624978425510411E-2</v>
      </c>
      <c r="E1252">
        <f t="shared" si="95"/>
        <v>2.5700802434239292E-2</v>
      </c>
      <c r="F1252">
        <f t="shared" si="96"/>
        <v>3.6349135342120149E-2</v>
      </c>
      <c r="G1252">
        <f t="shared" si="97"/>
        <v>-2.5700802434239292E-2</v>
      </c>
      <c r="H1252">
        <f t="shared" si="98"/>
        <v>-3.6349135342120149E-2</v>
      </c>
    </row>
    <row r="1253" spans="1:8" x14ac:dyDescent="0.2">
      <c r="A1253" s="1">
        <v>46230</v>
      </c>
      <c r="B1253">
        <v>336.91</v>
      </c>
      <c r="C1253">
        <f t="shared" si="99"/>
        <v>1.1613284133360819E-2</v>
      </c>
      <c r="D1253">
        <f t="shared" si="94"/>
        <v>1.56372053577351E-2</v>
      </c>
      <c r="E1253">
        <f t="shared" si="95"/>
        <v>2.5720913948055563E-2</v>
      </c>
      <c r="F1253">
        <f t="shared" si="96"/>
        <v>3.6377579439907097E-2</v>
      </c>
      <c r="G1253">
        <f t="shared" si="97"/>
        <v>-2.5720913948055563E-2</v>
      </c>
      <c r="H1253">
        <f t="shared" si="98"/>
        <v>-3.6377579439907097E-2</v>
      </c>
    </row>
    <row r="1254" spans="1:8" x14ac:dyDescent="0.2">
      <c r="A1254" s="1">
        <v>46231</v>
      </c>
      <c r="B1254">
        <v>340.08</v>
      </c>
      <c r="C1254">
        <f t="shared" si="99"/>
        <v>9.3650516802032211E-3</v>
      </c>
      <c r="D1254">
        <f t="shared" si="94"/>
        <v>1.5615733356933517E-2</v>
      </c>
      <c r="E1254">
        <f t="shared" si="95"/>
        <v>2.5685595649659172E-2</v>
      </c>
      <c r="F1254">
        <f t="shared" si="96"/>
        <v>3.6327628096490927E-2</v>
      </c>
      <c r="G1254">
        <f t="shared" si="97"/>
        <v>-2.5685595649659172E-2</v>
      </c>
      <c r="H1254">
        <f t="shared" si="98"/>
        <v>-3.6327628096490927E-2</v>
      </c>
    </row>
    <row r="1255" spans="1:8" x14ac:dyDescent="0.2">
      <c r="A1255" s="1">
        <v>46232</v>
      </c>
      <c r="B1255">
        <v>338.19</v>
      </c>
      <c r="C1255">
        <f t="shared" si="99"/>
        <v>-5.5730163259850177E-3</v>
      </c>
      <c r="D1255">
        <f t="shared" si="94"/>
        <v>1.5602904647319364E-2</v>
      </c>
      <c r="E1255">
        <f t="shared" si="95"/>
        <v>2.5664494300121226E-2</v>
      </c>
      <c r="F1255">
        <f t="shared" si="96"/>
        <v>3.6297784055153354E-2</v>
      </c>
      <c r="G1255">
        <f t="shared" si="97"/>
        <v>-2.5664494300121226E-2</v>
      </c>
      <c r="H1255">
        <f t="shared" si="98"/>
        <v>-3.6297784055153354E-2</v>
      </c>
    </row>
    <row r="1256" spans="1:8" x14ac:dyDescent="0.2">
      <c r="A1256" s="1">
        <v>46233</v>
      </c>
      <c r="B1256">
        <v>332.06</v>
      </c>
      <c r="C1256">
        <f t="shared" si="99"/>
        <v>-1.8292192244909272E-2</v>
      </c>
      <c r="D1256">
        <f t="shared" si="94"/>
        <v>1.5644919659371381E-2</v>
      </c>
      <c r="E1256">
        <f t="shared" si="95"/>
        <v>2.5733602845081395E-2</v>
      </c>
      <c r="F1256">
        <f t="shared" si="96"/>
        <v>3.6395525589118363E-2</v>
      </c>
      <c r="G1256">
        <f t="shared" si="97"/>
        <v>-2.5733602845081395E-2</v>
      </c>
      <c r="H1256">
        <f t="shared" si="98"/>
        <v>-3.6395525589118363E-2</v>
      </c>
    </row>
  </sheetData>
  <autoFilter ref="A1:C1256" xr:uid="{28DE588C-16D0-7D4C-BC29-BAC173B427F2}">
    <sortState xmlns:xlrd2="http://schemas.microsoft.com/office/spreadsheetml/2017/richdata2" ref="A2:C1256">
      <sortCondition ref="A1:A1256"/>
    </sortState>
  </autoFilter>
  <mergeCells count="2">
    <mergeCell ref="K2:M2"/>
    <mergeCell ref="K10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5464-79B8-B64D-8D1F-C858EBA8AF7A}">
  <dimension ref="B3:F41"/>
  <sheetViews>
    <sheetView tabSelected="1" topLeftCell="A2" workbookViewId="0">
      <selection activeCell="H10" sqref="H10"/>
    </sheetView>
  </sheetViews>
  <sheetFormatPr baseColWidth="10" defaultRowHeight="16" x14ac:dyDescent="0.2"/>
  <cols>
    <col min="2" max="2" width="26.33203125" bestFit="1" customWidth="1"/>
    <col min="3" max="4" width="12.83203125" bestFit="1" customWidth="1"/>
    <col min="5" max="6" width="14.1640625" bestFit="1" customWidth="1"/>
  </cols>
  <sheetData>
    <row r="3" spans="2:4" x14ac:dyDescent="0.2">
      <c r="B3" s="11" t="s">
        <v>10</v>
      </c>
      <c r="C3" s="11"/>
      <c r="D3" s="11"/>
    </row>
    <row r="4" spans="2:4" x14ac:dyDescent="0.2">
      <c r="B4" s="2" t="s">
        <v>3</v>
      </c>
      <c r="C4" s="9">
        <v>0.95</v>
      </c>
      <c r="D4" s="9">
        <v>0.99</v>
      </c>
    </row>
    <row r="5" spans="2:4" x14ac:dyDescent="0.2">
      <c r="B5" s="2" t="s">
        <v>4</v>
      </c>
      <c r="C5" s="9">
        <v>-2.7558929652889544E-2</v>
      </c>
      <c r="D5" s="9">
        <v>-4.8560135177057123E-2</v>
      </c>
    </row>
    <row r="6" spans="2:4" x14ac:dyDescent="0.2">
      <c r="B6" s="2" t="s">
        <v>5</v>
      </c>
      <c r="C6" s="9">
        <v>2.7558929652889544E-2</v>
      </c>
      <c r="D6" s="9">
        <v>4.8560135177057123E-2</v>
      </c>
    </row>
    <row r="7" spans="2:4" x14ac:dyDescent="0.2">
      <c r="B7" s="2" t="s">
        <v>6</v>
      </c>
      <c r="C7" s="9">
        <v>1000000</v>
      </c>
      <c r="D7" s="9">
        <v>1000000</v>
      </c>
    </row>
    <row r="8" spans="2:4" x14ac:dyDescent="0.2">
      <c r="B8" s="2" t="s">
        <v>7</v>
      </c>
      <c r="C8" s="9">
        <v>27558.929652889543</v>
      </c>
      <c r="D8" s="9">
        <v>48560.13517705712</v>
      </c>
    </row>
    <row r="11" spans="2:4" x14ac:dyDescent="0.2">
      <c r="B11" s="11" t="s">
        <v>11</v>
      </c>
      <c r="C11" s="11"/>
      <c r="D11" s="11"/>
    </row>
    <row r="12" spans="2:4" x14ac:dyDescent="0.2">
      <c r="B12" s="2" t="s">
        <v>3</v>
      </c>
      <c r="C12" s="9">
        <v>0.95</v>
      </c>
      <c r="D12" s="9">
        <v>0.99</v>
      </c>
    </row>
    <row r="13" spans="2:4" x14ac:dyDescent="0.2">
      <c r="B13" s="2" t="s">
        <v>8</v>
      </c>
      <c r="C13" s="9">
        <v>6.7568973343049346E-4</v>
      </c>
      <c r="D13" s="9">
        <v>6.7568973343049346E-4</v>
      </c>
    </row>
    <row r="14" spans="2:4" x14ac:dyDescent="0.2">
      <c r="B14" s="2" t="s">
        <v>9</v>
      </c>
      <c r="C14" s="9">
        <v>1.7475988530590535E-2</v>
      </c>
      <c r="D14" s="9">
        <v>1.7475988530590535E-2</v>
      </c>
    </row>
    <row r="15" spans="2:4" x14ac:dyDescent="0.2">
      <c r="B15" s="2" t="s">
        <v>12</v>
      </c>
      <c r="C15" s="9">
        <v>1.6448536269514715</v>
      </c>
      <c r="D15" s="9">
        <v>2.3263478740408408</v>
      </c>
    </row>
    <row r="16" spans="2:4" x14ac:dyDescent="0.2">
      <c r="B16" s="2" t="s">
        <v>13</v>
      </c>
      <c r="C16" s="9">
        <v>2.8069753385673666E-2</v>
      </c>
      <c r="D16" s="9">
        <v>3.9979539031470918E-2</v>
      </c>
    </row>
    <row r="17" spans="2:6" x14ac:dyDescent="0.2">
      <c r="B17" s="2" t="s">
        <v>6</v>
      </c>
      <c r="C17" s="9">
        <v>1000000</v>
      </c>
      <c r="D17" s="9">
        <v>1000000</v>
      </c>
    </row>
    <row r="18" spans="2:6" x14ac:dyDescent="0.2">
      <c r="B18" s="2" t="s">
        <v>14</v>
      </c>
      <c r="C18" s="9">
        <v>28069.753385673666</v>
      </c>
      <c r="D18" s="9">
        <v>39979.539031470915</v>
      </c>
    </row>
    <row r="21" spans="2:6" x14ac:dyDescent="0.2">
      <c r="B21" s="11" t="s">
        <v>41</v>
      </c>
      <c r="C21" s="11"/>
      <c r="D21" s="11"/>
      <c r="E21" s="11"/>
      <c r="F21" s="11"/>
    </row>
    <row r="22" spans="2:6" x14ac:dyDescent="0.2">
      <c r="B22" s="2"/>
      <c r="C22" s="6" t="s">
        <v>19</v>
      </c>
      <c r="D22" s="6" t="s">
        <v>20</v>
      </c>
      <c r="E22" s="6" t="s">
        <v>21</v>
      </c>
      <c r="F22" s="6" t="s">
        <v>22</v>
      </c>
    </row>
    <row r="23" spans="2:6" x14ac:dyDescent="0.2">
      <c r="B23" s="2" t="s">
        <v>3</v>
      </c>
      <c r="C23" s="4">
        <v>0.95</v>
      </c>
      <c r="D23" s="4">
        <v>0.99</v>
      </c>
      <c r="E23" s="4">
        <v>0.95</v>
      </c>
      <c r="F23" s="4">
        <v>0.99</v>
      </c>
    </row>
    <row r="24" spans="2:6" x14ac:dyDescent="0.2">
      <c r="B24" s="2" t="s">
        <v>5</v>
      </c>
      <c r="C24" s="4">
        <f>Data!L5</f>
        <v>2.7558929652889544E-2</v>
      </c>
      <c r="D24" s="4">
        <f>Data!M5</f>
        <v>4.8560135177057123E-2</v>
      </c>
      <c r="E24" s="4">
        <f>Data!L15</f>
        <v>2.8069753385673666E-2</v>
      </c>
      <c r="F24" s="4">
        <f>Data!M15</f>
        <v>3.9979539031470918E-2</v>
      </c>
    </row>
    <row r="25" spans="2:6" x14ac:dyDescent="0.2">
      <c r="B25" s="2" t="s">
        <v>15</v>
      </c>
      <c r="C25" s="4">
        <f>COUNT(Data!C3:C1256)</f>
        <v>1254</v>
      </c>
      <c r="D25" s="4">
        <f>C25</f>
        <v>1254</v>
      </c>
      <c r="E25" s="4">
        <f>C25</f>
        <v>1254</v>
      </c>
      <c r="F25" s="4">
        <f>C25</f>
        <v>1254</v>
      </c>
    </row>
    <row r="26" spans="2:6" x14ac:dyDescent="0.2">
      <c r="B26" s="2" t="s">
        <v>16</v>
      </c>
      <c r="C26" s="4">
        <f>COUNTIF(Data!$C$3:$C$1256,"&lt;" &amp;-C$24)</f>
        <v>63</v>
      </c>
      <c r="D26" s="4">
        <f>COUNTIF(Data!$C$3:$C$1256,"&lt;" &amp;-D$24)</f>
        <v>13</v>
      </c>
      <c r="E26" s="4">
        <f>COUNTIF(Data!$C$3:$C$1256,"&lt;" &amp;-E$24)</f>
        <v>62</v>
      </c>
      <c r="F26" s="4">
        <f>COUNTIF(Data!$C$3:$C$1256,"&lt;" &amp;-F$24)</f>
        <v>20</v>
      </c>
    </row>
    <row r="27" spans="2:6" x14ac:dyDescent="0.2">
      <c r="B27" s="2" t="s">
        <v>17</v>
      </c>
      <c r="C27" s="4">
        <f>(1-C$23)*C$25</f>
        <v>62.700000000000053</v>
      </c>
      <c r="D27" s="4">
        <f>(1-D$23)*D$25</f>
        <v>12.540000000000012</v>
      </c>
      <c r="E27" s="4">
        <f>(1-E$23)*E$25</f>
        <v>62.700000000000053</v>
      </c>
      <c r="F27" s="4">
        <f>(1-F$23)*F$25</f>
        <v>12.540000000000012</v>
      </c>
    </row>
    <row r="28" spans="2:6" x14ac:dyDescent="0.2">
      <c r="B28" s="2" t="s">
        <v>18</v>
      </c>
      <c r="C28" s="4">
        <f>C$26/C$27</f>
        <v>1.0047846889952146</v>
      </c>
      <c r="D28" s="4">
        <f t="shared" ref="D28:F28" si="0">D$26/D$27</f>
        <v>1.0366826156299831</v>
      </c>
      <c r="E28" s="4">
        <f t="shared" si="0"/>
        <v>0.98883572567783007</v>
      </c>
      <c r="F28" s="4">
        <f t="shared" si="0"/>
        <v>1.5948963317384355</v>
      </c>
    </row>
    <row r="29" spans="2:6" x14ac:dyDescent="0.2">
      <c r="B29" s="2" t="s">
        <v>42</v>
      </c>
      <c r="C29" s="7">
        <f>1-C$23</f>
        <v>5.0000000000000044E-2</v>
      </c>
      <c r="D29" s="7">
        <f t="shared" ref="D29:F29" si="1">1-D$23</f>
        <v>1.0000000000000009E-2</v>
      </c>
      <c r="E29" s="7">
        <f t="shared" si="1"/>
        <v>5.0000000000000044E-2</v>
      </c>
      <c r="F29" s="7">
        <f t="shared" si="1"/>
        <v>1.0000000000000009E-2</v>
      </c>
    </row>
    <row r="30" spans="2:6" x14ac:dyDescent="0.2">
      <c r="B30" s="2" t="s">
        <v>23</v>
      </c>
      <c r="C30" s="7">
        <f>-2*((C$25-C$26)*LN(1-C$29)+C$26*LN(C$29)-(C$25-C$26)*LN(1-(C$26/C$25))-C$26*LN(C$26/C$25))</f>
        <v>1.5086768983110233E-3</v>
      </c>
      <c r="D30" s="7">
        <f t="shared" ref="D30:F30" si="2">-2*((D$25-D$26)*LN(1-D$29)+D$26*LN(D$29)-(D$25-D$26)*LN(1-(D$26/D$25))-D$26*LN(D$26/D$25))</f>
        <v>1.6841844208173029E-2</v>
      </c>
      <c r="E30" s="7">
        <f t="shared" si="2"/>
        <v>8.2554732022686039E-3</v>
      </c>
      <c r="F30" s="7">
        <f t="shared" si="2"/>
        <v>3.7972671368590341</v>
      </c>
    </row>
    <row r="31" spans="2:6" x14ac:dyDescent="0.2">
      <c r="B31" s="2" t="s">
        <v>24</v>
      </c>
      <c r="C31" s="7">
        <f>_xlfn.CHISQ.INV(0.95,1)</f>
        <v>3.8414588206941236</v>
      </c>
      <c r="D31" s="7">
        <f t="shared" ref="D31:F31" si="3">_xlfn.CHISQ.INV(0.95,1)</f>
        <v>3.8414588206941236</v>
      </c>
      <c r="E31" s="7">
        <f t="shared" si="3"/>
        <v>3.8414588206941236</v>
      </c>
      <c r="F31" s="7">
        <f t="shared" si="3"/>
        <v>3.8414588206941236</v>
      </c>
    </row>
    <row r="32" spans="2:6" x14ac:dyDescent="0.2">
      <c r="B32" s="2" t="s">
        <v>25</v>
      </c>
      <c r="C32" s="7">
        <f>_xlfn.CHISQ.DIST.RT(C$30,1)</f>
        <v>0.96901660591751781</v>
      </c>
      <c r="D32" s="7">
        <f t="shared" ref="D32:F32" si="4">_xlfn.CHISQ.DIST.RT(D$30,1)</f>
        <v>0.89674354779789578</v>
      </c>
      <c r="E32" s="7">
        <f t="shared" si="4"/>
        <v>0.92760412438535222</v>
      </c>
      <c r="F32" s="7">
        <f t="shared" si="4"/>
        <v>5.133630715405036E-2</v>
      </c>
    </row>
    <row r="33" spans="2:6" x14ac:dyDescent="0.2">
      <c r="B33" s="2" t="s">
        <v>26</v>
      </c>
      <c r="C33" s="12" t="str">
        <f>IF(C$30&gt;C$31,"Reject","Fail to reject")</f>
        <v>Fail to reject</v>
      </c>
      <c r="D33" s="12" t="str">
        <f t="shared" ref="D33:F33" si="5">IF(D$30&gt;D$31,"Reject","Fail to reject")</f>
        <v>Fail to reject</v>
      </c>
      <c r="E33" s="12" t="str">
        <f t="shared" si="5"/>
        <v>Fail to reject</v>
      </c>
      <c r="F33" s="12" t="str">
        <f t="shared" si="5"/>
        <v>Fail to reject</v>
      </c>
    </row>
    <row r="36" spans="2:6" x14ac:dyDescent="0.2">
      <c r="B36" s="11" t="s">
        <v>35</v>
      </c>
      <c r="C36" s="11"/>
      <c r="D36" s="11"/>
      <c r="E36" s="11"/>
      <c r="F36" s="11"/>
    </row>
    <row r="37" spans="2:6" x14ac:dyDescent="0.2">
      <c r="B37" s="2" t="s">
        <v>36</v>
      </c>
      <c r="C37" s="10">
        <v>0</v>
      </c>
      <c r="D37" s="10">
        <v>0.1</v>
      </c>
      <c r="E37" s="10">
        <v>0.2</v>
      </c>
      <c r="F37" s="10">
        <v>0.3</v>
      </c>
    </row>
    <row r="38" spans="2:6" x14ac:dyDescent="0.2">
      <c r="B38" s="2" t="s">
        <v>37</v>
      </c>
      <c r="C38" s="9">
        <f>C14</f>
        <v>1.7475988530590535E-2</v>
      </c>
      <c r="D38" s="9">
        <f>$C$14*(1+D$37)</f>
        <v>1.9223587383649588E-2</v>
      </c>
      <c r="E38" s="9">
        <f t="shared" ref="E38:F38" si="6">$C$14*(1+E$37)</f>
        <v>2.0971186236708642E-2</v>
      </c>
      <c r="F38" s="9">
        <f t="shared" si="6"/>
        <v>2.2718785089767695E-2</v>
      </c>
    </row>
    <row r="39" spans="2:6" x14ac:dyDescent="0.2">
      <c r="B39" s="2" t="s">
        <v>40</v>
      </c>
      <c r="C39" s="9">
        <f>_xlfn.NORM.S.INV(0.99)*C$38-$C$13</f>
        <v>3.9979539031470918E-2</v>
      </c>
      <c r="D39" s="9">
        <f t="shared" ref="D39:F39" si="7">_xlfn.NORM.S.INV(0.99)*D$38-$C$13</f>
        <v>4.4045061907961057E-2</v>
      </c>
      <c r="E39" s="9">
        <f t="shared" si="7"/>
        <v>4.8110584784451196E-2</v>
      </c>
      <c r="F39" s="9">
        <f t="shared" si="7"/>
        <v>5.2176107660941336E-2</v>
      </c>
    </row>
    <row r="40" spans="2:6" x14ac:dyDescent="0.2">
      <c r="B40" s="2" t="s">
        <v>38</v>
      </c>
      <c r="C40" s="9">
        <f>C$39*$C$17</f>
        <v>39979.539031470915</v>
      </c>
      <c r="D40" s="9">
        <f t="shared" ref="D40:F40" si="8">D$39*$C$17</f>
        <v>44045.061907961055</v>
      </c>
      <c r="E40" s="9">
        <f t="shared" si="8"/>
        <v>48110.584784451195</v>
      </c>
      <c r="F40" s="9">
        <f t="shared" si="8"/>
        <v>52176.107660941336</v>
      </c>
    </row>
    <row r="41" spans="2:6" x14ac:dyDescent="0.2">
      <c r="B41" s="2" t="s">
        <v>39</v>
      </c>
      <c r="C41" s="9">
        <f>(C$40-$C$40)/$C$40</f>
        <v>0</v>
      </c>
      <c r="D41" s="9">
        <f t="shared" ref="D41:F41" si="9">(D$40-$C$40)/$C$40</f>
        <v>0.10169008885494803</v>
      </c>
      <c r="E41" s="9">
        <f t="shared" si="9"/>
        <v>0.20338017770989605</v>
      </c>
      <c r="F41" s="9">
        <f t="shared" si="9"/>
        <v>0.30507026656484409</v>
      </c>
    </row>
  </sheetData>
  <mergeCells count="4">
    <mergeCell ref="B36:F36"/>
    <mergeCell ref="B21:F21"/>
    <mergeCell ref="B3:D3"/>
    <mergeCell ref="B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D92C-4044-8D40-B8C1-5D34FB08E958}">
  <dimension ref="A1:D1006"/>
  <sheetViews>
    <sheetView workbookViewId="0">
      <selection activeCell="H32" sqref="H32"/>
    </sheetView>
  </sheetViews>
  <sheetFormatPr baseColWidth="10" defaultRowHeight="16" x14ac:dyDescent="0.2"/>
  <cols>
    <col min="3" max="4" width="13.6640625" bestFit="1" customWidth="1"/>
  </cols>
  <sheetData>
    <row r="1" spans="1:4" x14ac:dyDescent="0.2">
      <c r="A1" t="s">
        <v>0</v>
      </c>
      <c r="B1" t="s">
        <v>2</v>
      </c>
      <c r="C1" t="s">
        <v>33</v>
      </c>
      <c r="D1" t="s">
        <v>34</v>
      </c>
    </row>
    <row r="2" spans="1:4" x14ac:dyDescent="0.2">
      <c r="A2" s="1">
        <v>44770</v>
      </c>
      <c r="B2">
        <v>3.5556285107927526E-3</v>
      </c>
      <c r="C2">
        <v>-3.1267244195623982E-2</v>
      </c>
      <c r="D2">
        <v>-4.4221860152029002E-2</v>
      </c>
    </row>
    <row r="3" spans="1:4" x14ac:dyDescent="0.2">
      <c r="A3" s="1">
        <v>44771</v>
      </c>
      <c r="B3">
        <v>3.227237655501039E-2</v>
      </c>
      <c r="C3">
        <v>-3.144206053895332E-2</v>
      </c>
      <c r="D3">
        <v>-4.446910624249454E-2</v>
      </c>
    </row>
    <row r="4" spans="1:4" x14ac:dyDescent="0.2">
      <c r="A4" s="1">
        <v>44774</v>
      </c>
      <c r="B4">
        <v>-6.177324652630327E-3</v>
      </c>
      <c r="C4">
        <v>-3.142437559658081E-2</v>
      </c>
      <c r="D4">
        <v>-4.4444094091007795E-2</v>
      </c>
    </row>
    <row r="5" spans="1:4" x14ac:dyDescent="0.2">
      <c r="A5" s="1">
        <v>44775</v>
      </c>
      <c r="B5">
        <v>-9.3381304467622939E-3</v>
      </c>
      <c r="C5">
        <v>-3.1438996657313513E-2</v>
      </c>
      <c r="D5">
        <v>-4.4464772936221995E-2</v>
      </c>
    </row>
    <row r="6" spans="1:4" x14ac:dyDescent="0.2">
      <c r="A6" s="1">
        <v>44776</v>
      </c>
      <c r="B6">
        <v>3.7546165753915214E-2</v>
      </c>
      <c r="C6">
        <v>-3.1676054635774907E-2</v>
      </c>
      <c r="D6">
        <v>-4.4800048559038477E-2</v>
      </c>
    </row>
    <row r="7" spans="1:4" x14ac:dyDescent="0.2">
      <c r="A7" s="1">
        <v>44777</v>
      </c>
      <c r="B7">
        <v>-1.934242518376613E-3</v>
      </c>
      <c r="C7">
        <v>-3.167222530731751E-2</v>
      </c>
      <c r="D7">
        <v>-4.4794632666724461E-2</v>
      </c>
    </row>
    <row r="8" spans="1:4" x14ac:dyDescent="0.2">
      <c r="A8" s="1">
        <v>44778</v>
      </c>
      <c r="B8">
        <v>-1.396205868836488E-3</v>
      </c>
      <c r="C8">
        <v>-3.1672725166576987E-2</v>
      </c>
      <c r="D8">
        <v>-4.4795339627214166E-2</v>
      </c>
    </row>
    <row r="9" spans="1:4" x14ac:dyDescent="0.2">
      <c r="A9" s="1">
        <v>44781</v>
      </c>
      <c r="B9">
        <v>-2.9032069678331463E-3</v>
      </c>
      <c r="C9">
        <v>-3.1672262578612179E-2</v>
      </c>
      <c r="D9">
        <v>-4.4794685380227781E-2</v>
      </c>
    </row>
    <row r="10" spans="1:4" x14ac:dyDescent="0.2">
      <c r="A10" s="1">
        <v>44782</v>
      </c>
      <c r="B10">
        <v>3.0859625979358802E-4</v>
      </c>
      <c r="C10">
        <v>-3.1672027049378819E-2</v>
      </c>
      <c r="D10">
        <v>-4.4794352266738328E-2</v>
      </c>
    </row>
    <row r="11" spans="1:4" x14ac:dyDescent="0.2">
      <c r="A11" s="1">
        <v>44783</v>
      </c>
      <c r="B11">
        <v>2.585253407561583E-2</v>
      </c>
      <c r="C11">
        <v>-3.1713495171942829E-2</v>
      </c>
      <c r="D11">
        <v>-4.4853001423834485E-2</v>
      </c>
    </row>
    <row r="12" spans="1:4" x14ac:dyDescent="0.2">
      <c r="A12" s="1">
        <v>44784</v>
      </c>
      <c r="B12">
        <v>-4.4357463117963699E-3</v>
      </c>
      <c r="C12">
        <v>-3.1717575631118114E-2</v>
      </c>
      <c r="D12">
        <v>-4.4858772495115225E-2</v>
      </c>
    </row>
    <row r="13" spans="1:4" x14ac:dyDescent="0.2">
      <c r="A13" s="1">
        <v>44785</v>
      </c>
      <c r="B13">
        <v>2.1198363869552501E-2</v>
      </c>
      <c r="C13">
        <v>-3.1761819962342085E-2</v>
      </c>
      <c r="D13">
        <v>-4.4921348097098739E-2</v>
      </c>
    </row>
    <row r="14" spans="1:4" x14ac:dyDescent="0.2">
      <c r="A14" s="1">
        <v>44788</v>
      </c>
      <c r="B14">
        <v>6.307532745953204E-3</v>
      </c>
      <c r="C14">
        <v>-3.1759664977613497E-2</v>
      </c>
      <c r="D14">
        <v>-4.4918300261072602E-2</v>
      </c>
    </row>
    <row r="15" spans="1:4" x14ac:dyDescent="0.2">
      <c r="A15" s="1">
        <v>44789</v>
      </c>
      <c r="B15">
        <v>-9.171292148824889E-4</v>
      </c>
      <c r="C15">
        <v>-3.1640116094049105E-2</v>
      </c>
      <c r="D15">
        <v>-4.4749219993645145E-2</v>
      </c>
    </row>
    <row r="16" spans="1:4" x14ac:dyDescent="0.2">
      <c r="A16" s="1">
        <v>44790</v>
      </c>
      <c r="B16">
        <v>8.748921205567927E-3</v>
      </c>
      <c r="C16">
        <v>-3.1650781828985453E-2</v>
      </c>
      <c r="D16">
        <v>-4.4764304746104391E-2</v>
      </c>
    </row>
    <row r="17" spans="1:4" x14ac:dyDescent="0.2">
      <c r="A17" s="1">
        <v>44791</v>
      </c>
      <c r="B17">
        <v>-2.2998580023165997E-3</v>
      </c>
      <c r="C17">
        <v>-3.1637351597368184E-2</v>
      </c>
      <c r="D17">
        <v>-4.4745310113233246E-2</v>
      </c>
    </row>
    <row r="18" spans="1:4" x14ac:dyDescent="0.2">
      <c r="A18" s="1">
        <v>44792</v>
      </c>
      <c r="B18">
        <v>-1.5215867148396834E-2</v>
      </c>
      <c r="C18">
        <v>-3.1664494532900635E-2</v>
      </c>
      <c r="D18">
        <v>-4.4783698884937016E-2</v>
      </c>
    </row>
    <row r="19" spans="1:4" x14ac:dyDescent="0.2">
      <c r="A19" s="1">
        <v>44795</v>
      </c>
      <c r="B19">
        <v>-2.3309427559767344E-2</v>
      </c>
      <c r="C19">
        <v>-3.1761567603797572E-2</v>
      </c>
      <c r="D19">
        <v>-4.49209911815934E-2</v>
      </c>
    </row>
    <row r="20" spans="1:4" x14ac:dyDescent="0.2">
      <c r="A20" s="1">
        <v>44796</v>
      </c>
      <c r="B20">
        <v>-2.0245075599038403E-3</v>
      </c>
      <c r="C20">
        <v>-3.1748812174551166E-2</v>
      </c>
      <c r="D20">
        <v>-4.4902950934592886E-2</v>
      </c>
    </row>
    <row r="21" spans="1:4" x14ac:dyDescent="0.2">
      <c r="A21" s="1">
        <v>44797</v>
      </c>
      <c r="B21">
        <v>1.7876148620763013E-3</v>
      </c>
      <c r="C21">
        <v>-3.1742766285185089E-2</v>
      </c>
      <c r="D21">
        <v>-4.489440011788616E-2</v>
      </c>
    </row>
    <row r="22" spans="1:4" x14ac:dyDescent="0.2">
      <c r="A22" s="1">
        <v>44798</v>
      </c>
      <c r="B22">
        <v>1.4821696674365063E-2</v>
      </c>
      <c r="C22">
        <v>-3.1770050416649737E-2</v>
      </c>
      <c r="D22">
        <v>-4.4932988585691322E-2</v>
      </c>
    </row>
    <row r="23" spans="1:4" x14ac:dyDescent="0.2">
      <c r="A23" s="1">
        <v>44799</v>
      </c>
      <c r="B23">
        <v>-3.8431894048230199E-2</v>
      </c>
      <c r="C23">
        <v>-3.1877712551677054E-2</v>
      </c>
      <c r="D23">
        <v>-4.5085257197822901E-2</v>
      </c>
    </row>
    <row r="24" spans="1:4" x14ac:dyDescent="0.2">
      <c r="A24" s="1">
        <v>44802</v>
      </c>
      <c r="B24">
        <v>-1.3784856019980567E-2</v>
      </c>
      <c r="C24">
        <v>-3.1898284763285684E-2</v>
      </c>
      <c r="D24">
        <v>-4.5114352869289276E-2</v>
      </c>
    </row>
    <row r="25" spans="1:4" x14ac:dyDescent="0.2">
      <c r="A25" s="1">
        <v>44803</v>
      </c>
      <c r="B25">
        <v>-1.5423882167586127E-2</v>
      </c>
      <c r="C25">
        <v>-3.1936887454713798E-2</v>
      </c>
      <c r="D25">
        <v>-4.5168949392447678E-2</v>
      </c>
    </row>
    <row r="26" spans="1:4" x14ac:dyDescent="0.2">
      <c r="A26" s="1">
        <v>44804</v>
      </c>
      <c r="B26">
        <v>-1.0694669337676479E-2</v>
      </c>
      <c r="C26">
        <v>-3.1947884743619738E-2</v>
      </c>
      <c r="D26">
        <v>-4.5184503068013318E-2</v>
      </c>
    </row>
    <row r="27" spans="1:4" x14ac:dyDescent="0.2">
      <c r="A27" s="1">
        <v>44805</v>
      </c>
      <c r="B27">
        <v>4.7014539668797321E-3</v>
      </c>
      <c r="C27">
        <v>-3.1948660030128154E-2</v>
      </c>
      <c r="D27">
        <v>-4.5185599570517286E-2</v>
      </c>
    </row>
    <row r="28" spans="1:4" x14ac:dyDescent="0.2">
      <c r="A28" s="1">
        <v>44806</v>
      </c>
      <c r="B28">
        <v>-1.3700799442064308E-2</v>
      </c>
      <c r="C28">
        <v>-3.1940953290703185E-2</v>
      </c>
      <c r="D28">
        <v>-4.5174699781877554E-2</v>
      </c>
    </row>
    <row r="29" spans="1:4" x14ac:dyDescent="0.2">
      <c r="A29" s="1">
        <v>44810</v>
      </c>
      <c r="B29">
        <v>-8.2640762059067452E-3</v>
      </c>
      <c r="C29">
        <v>-3.1934932268256611E-2</v>
      </c>
      <c r="D29">
        <v>-4.5166184134929628E-2</v>
      </c>
    </row>
    <row r="30" spans="1:4" x14ac:dyDescent="0.2">
      <c r="A30" s="1">
        <v>44811</v>
      </c>
      <c r="B30">
        <v>9.2237848415390438E-3</v>
      </c>
      <c r="C30">
        <v>-3.1941554873247131E-2</v>
      </c>
      <c r="D30">
        <v>-4.5175550611549722E-2</v>
      </c>
    </row>
    <row r="31" spans="1:4" x14ac:dyDescent="0.2">
      <c r="A31" s="1">
        <v>44812</v>
      </c>
      <c r="B31">
        <v>-9.6717308847066776E-3</v>
      </c>
      <c r="C31">
        <v>-3.1763193246355174E-2</v>
      </c>
      <c r="D31">
        <v>-4.4923290358885419E-2</v>
      </c>
    </row>
    <row r="32" spans="1:4" x14ac:dyDescent="0.2">
      <c r="A32" s="1">
        <v>44813</v>
      </c>
      <c r="B32">
        <v>1.8662482444094745E-2</v>
      </c>
      <c r="C32">
        <v>-3.1819127075088605E-2</v>
      </c>
      <c r="D32">
        <v>-4.5002398640272216E-2</v>
      </c>
    </row>
    <row r="33" spans="1:4" x14ac:dyDescent="0.2">
      <c r="A33" s="1">
        <v>44816</v>
      </c>
      <c r="B33">
        <v>3.7788470732576351E-2</v>
      </c>
      <c r="C33">
        <v>-3.2041069569503755E-2</v>
      </c>
      <c r="D33">
        <v>-4.5316296145546858E-2</v>
      </c>
    </row>
    <row r="34" spans="1:4" x14ac:dyDescent="0.2">
      <c r="A34" s="1">
        <v>44817</v>
      </c>
      <c r="B34">
        <v>-6.0478291667337286E-2</v>
      </c>
      <c r="C34">
        <v>-3.2655348057617016E-2</v>
      </c>
      <c r="D34">
        <v>-4.6185081933823847E-2</v>
      </c>
    </row>
    <row r="35" spans="1:4" x14ac:dyDescent="0.2">
      <c r="A35" s="1">
        <v>44818</v>
      </c>
      <c r="B35">
        <v>9.5074523453218835E-3</v>
      </c>
      <c r="C35">
        <v>-3.2669313477124658E-2</v>
      </c>
      <c r="D35">
        <v>-4.620483349314157E-2</v>
      </c>
    </row>
    <row r="36" spans="1:4" x14ac:dyDescent="0.2">
      <c r="A36" s="1">
        <v>44819</v>
      </c>
      <c r="B36">
        <v>-1.9099485394285867E-2</v>
      </c>
      <c r="C36">
        <v>-3.2673350263127308E-2</v>
      </c>
      <c r="D36">
        <v>-4.6210542796620825E-2</v>
      </c>
    </row>
    <row r="37" spans="1:4" x14ac:dyDescent="0.2">
      <c r="A37" s="1">
        <v>44820</v>
      </c>
      <c r="B37">
        <v>-1.1027943269295541E-2</v>
      </c>
      <c r="C37">
        <v>-3.2615072411631758E-2</v>
      </c>
      <c r="D37">
        <v>-4.6128119319109574E-2</v>
      </c>
    </row>
    <row r="38" spans="1:4" x14ac:dyDescent="0.2">
      <c r="A38" s="1">
        <v>44823</v>
      </c>
      <c r="B38">
        <v>2.4779084475739007E-2</v>
      </c>
      <c r="C38">
        <v>-3.271324415956748E-2</v>
      </c>
      <c r="D38">
        <v>-4.6266965495668402E-2</v>
      </c>
    </row>
    <row r="39" spans="1:4" x14ac:dyDescent="0.2">
      <c r="A39" s="1">
        <v>44824</v>
      </c>
      <c r="B39">
        <v>1.5531957311928205E-2</v>
      </c>
      <c r="C39">
        <v>-3.2707005448692254E-2</v>
      </c>
      <c r="D39">
        <v>-4.6258141967821589E-2</v>
      </c>
    </row>
    <row r="40" spans="1:4" x14ac:dyDescent="0.2">
      <c r="A40" s="1">
        <v>44825</v>
      </c>
      <c r="B40">
        <v>-2.0465379462622391E-2</v>
      </c>
      <c r="C40">
        <v>-3.2771343288978377E-2</v>
      </c>
      <c r="D40">
        <v>-4.6349136203124697E-2</v>
      </c>
    </row>
    <row r="41" spans="1:4" x14ac:dyDescent="0.2">
      <c r="A41" s="1">
        <v>44826</v>
      </c>
      <c r="B41">
        <v>-6.3894161393511549E-3</v>
      </c>
      <c r="C41">
        <v>-3.2778491931488546E-2</v>
      </c>
      <c r="D41">
        <v>-4.6359246664647427E-2</v>
      </c>
    </row>
    <row r="42" spans="1:4" x14ac:dyDescent="0.2">
      <c r="A42" s="1">
        <v>44827</v>
      </c>
      <c r="B42">
        <v>-1.5233952332039204E-2</v>
      </c>
      <c r="C42">
        <v>-3.2798604597249231E-2</v>
      </c>
      <c r="D42">
        <v>-4.6387692391651345E-2</v>
      </c>
    </row>
    <row r="43" spans="1:4" x14ac:dyDescent="0.2">
      <c r="A43" s="1">
        <v>44830</v>
      </c>
      <c r="B43">
        <v>2.2435776890082177E-3</v>
      </c>
      <c r="C43">
        <v>-3.2700450462676459E-2</v>
      </c>
      <c r="D43">
        <v>-4.6248871126007861E-2</v>
      </c>
    </row>
    <row r="44" spans="1:4" x14ac:dyDescent="0.2">
      <c r="A44" s="1">
        <v>44831</v>
      </c>
      <c r="B44">
        <v>6.5397528374842688E-3</v>
      </c>
      <c r="C44">
        <v>-3.2700550782186082E-2</v>
      </c>
      <c r="D44">
        <v>-4.6249013009804753E-2</v>
      </c>
    </row>
    <row r="45" spans="1:4" x14ac:dyDescent="0.2">
      <c r="A45" s="1">
        <v>44832</v>
      </c>
      <c r="B45">
        <v>-1.2728536665858381E-2</v>
      </c>
      <c r="C45">
        <v>-3.2713133635001203E-2</v>
      </c>
      <c r="D45">
        <v>-4.6266809178665123E-2</v>
      </c>
    </row>
    <row r="46" spans="1:4" x14ac:dyDescent="0.2">
      <c r="A46" s="1">
        <v>44833</v>
      </c>
      <c r="B46">
        <v>-5.0353567268012857E-2</v>
      </c>
      <c r="C46">
        <v>-3.3123252555531488E-2</v>
      </c>
      <c r="D46">
        <v>-4.6846848194445408E-2</v>
      </c>
    </row>
    <row r="47" spans="1:4" x14ac:dyDescent="0.2">
      <c r="A47" s="1">
        <v>44834</v>
      </c>
      <c r="B47">
        <v>-3.0510755205021937E-2</v>
      </c>
      <c r="C47">
        <v>-3.3174267700470168E-2</v>
      </c>
      <c r="D47">
        <v>-4.6918999887475957E-2</v>
      </c>
    </row>
    <row r="48" spans="1:4" x14ac:dyDescent="0.2">
      <c r="A48" s="1">
        <v>44837</v>
      </c>
      <c r="B48">
        <v>3.0296446528272153E-2</v>
      </c>
      <c r="C48">
        <v>-3.3292254052901003E-2</v>
      </c>
      <c r="D48">
        <v>-4.708587023730277E-2</v>
      </c>
    </row>
    <row r="49" spans="1:4" x14ac:dyDescent="0.2">
      <c r="A49" s="1">
        <v>44838</v>
      </c>
      <c r="B49">
        <v>2.5304054942657139E-2</v>
      </c>
      <c r="C49">
        <v>-3.3389487360340822E-2</v>
      </c>
      <c r="D49">
        <v>-4.7223389159559592E-2</v>
      </c>
    </row>
    <row r="50" spans="1:4" x14ac:dyDescent="0.2">
      <c r="A50" s="1">
        <v>44839</v>
      </c>
      <c r="B50">
        <v>2.0319694123983956E-3</v>
      </c>
      <c r="C50">
        <v>-3.3376970959956634E-2</v>
      </c>
      <c r="D50">
        <v>-4.7205686975640419E-2</v>
      </c>
    </row>
    <row r="51" spans="1:4" x14ac:dyDescent="0.2">
      <c r="A51" s="1">
        <v>44840</v>
      </c>
      <c r="B51">
        <v>-6.6260512769034125E-3</v>
      </c>
      <c r="C51">
        <v>-3.3383015877129329E-2</v>
      </c>
      <c r="D51">
        <v>-4.7214236417355497E-2</v>
      </c>
    </row>
    <row r="52" spans="1:4" x14ac:dyDescent="0.2">
      <c r="A52" s="1">
        <v>44841</v>
      </c>
      <c r="B52">
        <v>-3.741659064644446E-2</v>
      </c>
      <c r="C52">
        <v>-3.3610242256409302E-2</v>
      </c>
      <c r="D52">
        <v>-4.7535607021829088E-2</v>
      </c>
    </row>
    <row r="53" spans="1:4" x14ac:dyDescent="0.2">
      <c r="A53" s="1">
        <v>44844</v>
      </c>
      <c r="B53">
        <v>2.3437652452393018E-3</v>
      </c>
      <c r="C53">
        <v>-3.3597667871416999E-2</v>
      </c>
      <c r="D53">
        <v>-4.7517822829172121E-2</v>
      </c>
    </row>
    <row r="54" spans="1:4" x14ac:dyDescent="0.2">
      <c r="A54" s="1">
        <v>44845</v>
      </c>
      <c r="B54">
        <v>-1.0315828807599483E-2</v>
      </c>
      <c r="C54">
        <v>-3.3611885522654122E-2</v>
      </c>
      <c r="D54">
        <v>-4.7537931124638284E-2</v>
      </c>
    </row>
    <row r="55" spans="1:4" x14ac:dyDescent="0.2">
      <c r="A55" s="1">
        <v>44846</v>
      </c>
      <c r="B55">
        <v>-4.6020287540783737E-3</v>
      </c>
      <c r="C55">
        <v>-3.3549307140767745E-2</v>
      </c>
      <c r="D55">
        <v>-4.7449425324926429E-2</v>
      </c>
    </row>
    <row r="56" spans="1:4" x14ac:dyDescent="0.2">
      <c r="A56" s="1">
        <v>44847</v>
      </c>
      <c r="B56">
        <v>3.3060084725976893E-2</v>
      </c>
      <c r="C56">
        <v>-3.3717337387870805E-2</v>
      </c>
      <c r="D56">
        <v>-4.7687073709997162E-2</v>
      </c>
    </row>
    <row r="57" spans="1:4" x14ac:dyDescent="0.2">
      <c r="A57" s="1">
        <v>44848</v>
      </c>
      <c r="B57">
        <v>-3.2773215606205774E-2</v>
      </c>
      <c r="C57">
        <v>-3.3866312845734395E-2</v>
      </c>
      <c r="D57">
        <v>-4.7897772543015846E-2</v>
      </c>
    </row>
    <row r="58" spans="1:4" x14ac:dyDescent="0.2">
      <c r="A58" s="1">
        <v>44851</v>
      </c>
      <c r="B58">
        <v>2.8708024400027496E-2</v>
      </c>
      <c r="C58">
        <v>-3.3963585765510867E-2</v>
      </c>
      <c r="D58">
        <v>-4.8035347489756339E-2</v>
      </c>
    </row>
    <row r="59" spans="1:4" x14ac:dyDescent="0.2">
      <c r="A59" s="1">
        <v>44852</v>
      </c>
      <c r="B59">
        <v>9.3607534738788974E-3</v>
      </c>
      <c r="C59">
        <v>-3.3976048775106425E-2</v>
      </c>
      <c r="D59">
        <v>-4.8052974162064256E-2</v>
      </c>
    </row>
    <row r="60" spans="1:4" x14ac:dyDescent="0.2">
      <c r="A60" s="1">
        <v>44853</v>
      </c>
      <c r="B60">
        <v>7.7848002176403547E-4</v>
      </c>
      <c r="C60">
        <v>-3.3975769923569092E-2</v>
      </c>
      <c r="D60">
        <v>-4.8052579777013563E-2</v>
      </c>
    </row>
    <row r="61" spans="1:4" x14ac:dyDescent="0.2">
      <c r="A61" s="1">
        <v>44854</v>
      </c>
      <c r="B61">
        <v>-3.27369645780569E-3</v>
      </c>
      <c r="C61">
        <v>-3.397305165514776E-2</v>
      </c>
      <c r="D61">
        <v>-4.8048735278111404E-2</v>
      </c>
    </row>
    <row r="62" spans="1:4" x14ac:dyDescent="0.2">
      <c r="A62" s="1">
        <v>44855</v>
      </c>
      <c r="B62">
        <v>2.6689352685167513E-2</v>
      </c>
      <c r="C62">
        <v>-3.4087344683944761E-2</v>
      </c>
      <c r="D62">
        <v>-4.8210382089841616E-2</v>
      </c>
    </row>
    <row r="63" spans="1:4" x14ac:dyDescent="0.2">
      <c r="A63" s="1">
        <v>44858</v>
      </c>
      <c r="B63">
        <v>1.4707660661085292E-2</v>
      </c>
      <c r="C63">
        <v>-3.4118431841263563E-2</v>
      </c>
      <c r="D63">
        <v>-4.8254349249687085E-2</v>
      </c>
    </row>
    <row r="64" spans="1:4" x14ac:dyDescent="0.2">
      <c r="A64" s="1">
        <v>44859</v>
      </c>
      <c r="B64">
        <v>1.9141599355667924E-2</v>
      </c>
      <c r="C64">
        <v>-3.4174625736141308E-2</v>
      </c>
      <c r="D64">
        <v>-4.833382534758475E-2</v>
      </c>
    </row>
    <row r="65" spans="1:4" x14ac:dyDescent="0.2">
      <c r="A65" s="1">
        <v>44860</v>
      </c>
      <c r="B65">
        <v>-1.980917431234043E-2</v>
      </c>
      <c r="C65">
        <v>-3.4139792138607877E-2</v>
      </c>
      <c r="D65">
        <v>-4.8284559525848814E-2</v>
      </c>
    </row>
    <row r="66" spans="1:4" x14ac:dyDescent="0.2">
      <c r="A66" s="1">
        <v>44861</v>
      </c>
      <c r="B66">
        <v>-3.0933297544769606E-2</v>
      </c>
      <c r="C66">
        <v>-3.4237737118683366E-2</v>
      </c>
      <c r="D66">
        <v>-4.8423084980295412E-2</v>
      </c>
    </row>
    <row r="67" spans="1:4" x14ac:dyDescent="0.2">
      <c r="A67" s="1">
        <v>44862</v>
      </c>
      <c r="B67">
        <v>7.2830005152674876E-2</v>
      </c>
      <c r="C67">
        <v>-3.5063331447595478E-2</v>
      </c>
      <c r="D67">
        <v>-4.9590738794844547E-2</v>
      </c>
    </row>
    <row r="68" spans="1:4" x14ac:dyDescent="0.2">
      <c r="A68" s="1">
        <v>44865</v>
      </c>
      <c r="B68">
        <v>-1.5541965789747902E-2</v>
      </c>
      <c r="C68">
        <v>-3.5093980212557302E-2</v>
      </c>
      <c r="D68">
        <v>-4.9634085928013508E-2</v>
      </c>
    </row>
    <row r="69" spans="1:4" x14ac:dyDescent="0.2">
      <c r="A69" s="1">
        <v>44866</v>
      </c>
      <c r="B69">
        <v>-1.7690569753910611E-2</v>
      </c>
      <c r="C69">
        <v>-3.5128024005606516E-2</v>
      </c>
      <c r="D69">
        <v>-4.9682234714195229E-2</v>
      </c>
    </row>
    <row r="70" spans="1:4" x14ac:dyDescent="0.2">
      <c r="A70" s="1">
        <v>44867</v>
      </c>
      <c r="B70">
        <v>-3.8024358246842645E-2</v>
      </c>
      <c r="C70">
        <v>-3.5348272240959128E-2</v>
      </c>
      <c r="D70">
        <v>-4.9993735996545455E-2</v>
      </c>
    </row>
    <row r="71" spans="1:4" x14ac:dyDescent="0.2">
      <c r="A71" s="1">
        <v>44868</v>
      </c>
      <c r="B71">
        <v>-4.3330899223027734E-2</v>
      </c>
      <c r="C71">
        <v>-3.5630380898159481E-2</v>
      </c>
      <c r="D71">
        <v>-5.039272765402375E-2</v>
      </c>
    </row>
    <row r="72" spans="1:4" x14ac:dyDescent="0.2">
      <c r="A72" s="1">
        <v>44869</v>
      </c>
      <c r="B72">
        <v>-1.9438205483075885E-3</v>
      </c>
      <c r="C72">
        <v>-3.5626537736573975E-2</v>
      </c>
      <c r="D72">
        <v>-5.0387292197252687E-2</v>
      </c>
    </row>
    <row r="73" spans="1:4" x14ac:dyDescent="0.2">
      <c r="A73" s="1">
        <v>44872</v>
      </c>
      <c r="B73">
        <v>3.8838699874656733E-3</v>
      </c>
      <c r="C73">
        <v>-3.5628046651845928E-2</v>
      </c>
      <c r="D73">
        <v>-5.0389426284917077E-2</v>
      </c>
    </row>
    <row r="74" spans="1:4" x14ac:dyDescent="0.2">
      <c r="A74" s="1">
        <v>44873</v>
      </c>
      <c r="B74">
        <v>4.1602255430538094E-3</v>
      </c>
      <c r="C74">
        <v>-3.557512695752317E-2</v>
      </c>
      <c r="D74">
        <v>-5.0314580951347304E-2</v>
      </c>
    </row>
    <row r="75" spans="1:4" x14ac:dyDescent="0.2">
      <c r="A75" s="1">
        <v>44874</v>
      </c>
      <c r="B75">
        <v>-3.3754134853849073E-2</v>
      </c>
      <c r="C75">
        <v>-3.5745855849467996E-2</v>
      </c>
      <c r="D75">
        <v>-5.0556046081317141E-2</v>
      </c>
    </row>
    <row r="76" spans="1:4" x14ac:dyDescent="0.2">
      <c r="A76" s="1">
        <v>44875</v>
      </c>
      <c r="B76">
        <v>8.5253894593550983E-2</v>
      </c>
      <c r="C76">
        <v>-3.6808056646140952E-2</v>
      </c>
      <c r="D76">
        <v>-5.205833693848258E-2</v>
      </c>
    </row>
    <row r="77" spans="1:4" x14ac:dyDescent="0.2">
      <c r="A77" s="1">
        <v>44876</v>
      </c>
      <c r="B77">
        <v>1.9076257666413115E-2</v>
      </c>
      <c r="C77">
        <v>-3.6861857172497334E-2</v>
      </c>
      <c r="D77">
        <v>-5.2134428049606801E-2</v>
      </c>
    </row>
    <row r="78" spans="1:4" x14ac:dyDescent="0.2">
      <c r="A78" s="1">
        <v>44879</v>
      </c>
      <c r="B78">
        <v>-9.5269016402691458E-3</v>
      </c>
      <c r="C78">
        <v>-3.6868597958768699E-2</v>
      </c>
      <c r="D78">
        <v>-5.2143961672267695E-2</v>
      </c>
    </row>
    <row r="79" spans="1:4" x14ac:dyDescent="0.2">
      <c r="A79" s="1">
        <v>44880</v>
      </c>
      <c r="B79">
        <v>1.1798019768824908E-2</v>
      </c>
      <c r="C79">
        <v>-3.6849755951437337E-2</v>
      </c>
      <c r="D79">
        <v>-5.2117313061728891E-2</v>
      </c>
    </row>
    <row r="80" spans="1:4" x14ac:dyDescent="0.2">
      <c r="A80" s="1">
        <v>44881</v>
      </c>
      <c r="B80">
        <v>-8.3778098542633649E-3</v>
      </c>
      <c r="C80">
        <v>-3.6741604833406119E-2</v>
      </c>
      <c r="D80">
        <v>-5.1964352871603427E-2</v>
      </c>
    </row>
    <row r="81" spans="1:4" x14ac:dyDescent="0.2">
      <c r="A81" s="1">
        <v>44882</v>
      </c>
      <c r="B81">
        <v>1.2891148056376568E-2</v>
      </c>
      <c r="C81">
        <v>-3.672409528323084E-2</v>
      </c>
      <c r="D81">
        <v>-5.1939588780648312E-2</v>
      </c>
    </row>
    <row r="82" spans="1:4" x14ac:dyDescent="0.2">
      <c r="A82" s="1">
        <v>44883</v>
      </c>
      <c r="B82">
        <v>3.7881509287559746E-3</v>
      </c>
      <c r="C82">
        <v>-3.6725005951714101E-2</v>
      </c>
      <c r="D82">
        <v>-5.1940876756462862E-2</v>
      </c>
    </row>
    <row r="83" spans="1:4" x14ac:dyDescent="0.2">
      <c r="A83" s="1">
        <v>44886</v>
      </c>
      <c r="B83">
        <v>-2.1930703493970118E-2</v>
      </c>
      <c r="C83">
        <v>-3.6793289338657401E-2</v>
      </c>
      <c r="D83">
        <v>-5.2037451253697777E-2</v>
      </c>
    </row>
    <row r="84" spans="1:4" x14ac:dyDescent="0.2">
      <c r="A84" s="1">
        <v>44887</v>
      </c>
      <c r="B84">
        <v>1.4570046900019756E-2</v>
      </c>
      <c r="C84">
        <v>-3.6824022452535916E-2</v>
      </c>
      <c r="D84">
        <v>-5.2080917683149271E-2</v>
      </c>
    </row>
    <row r="85" spans="1:4" x14ac:dyDescent="0.2">
      <c r="A85" s="1">
        <v>44888</v>
      </c>
      <c r="B85">
        <v>5.9157201717658266E-3</v>
      </c>
      <c r="C85">
        <v>-3.6678453185818485E-2</v>
      </c>
      <c r="D85">
        <v>-5.1875036291270403E-2</v>
      </c>
    </row>
    <row r="86" spans="1:4" x14ac:dyDescent="0.2">
      <c r="A86" s="1">
        <v>44890</v>
      </c>
      <c r="B86">
        <v>-1.9799533574504466E-2</v>
      </c>
      <c r="C86">
        <v>-3.6664120590094426E-2</v>
      </c>
      <c r="D86">
        <v>-5.185476542762283E-2</v>
      </c>
    </row>
    <row r="87" spans="1:4" x14ac:dyDescent="0.2">
      <c r="A87" s="1">
        <v>44893</v>
      </c>
      <c r="B87">
        <v>-2.6625048675860519E-2</v>
      </c>
      <c r="C87">
        <v>-3.6619392286267968E-2</v>
      </c>
      <c r="D87">
        <v>-5.1791505333951771E-2</v>
      </c>
    </row>
    <row r="88" spans="1:4" x14ac:dyDescent="0.2">
      <c r="A88" s="1">
        <v>44894</v>
      </c>
      <c r="B88">
        <v>-2.1376185974409684E-2</v>
      </c>
      <c r="C88">
        <v>-3.6682584735389559E-2</v>
      </c>
      <c r="D88">
        <v>-5.1880879620672893E-2</v>
      </c>
    </row>
    <row r="89" spans="1:4" x14ac:dyDescent="0.2">
      <c r="A89" s="1">
        <v>44895</v>
      </c>
      <c r="B89">
        <v>4.745228553092893E-2</v>
      </c>
      <c r="C89">
        <v>-3.7016672008792564E-2</v>
      </c>
      <c r="D89">
        <v>-5.2353385626976709E-2</v>
      </c>
    </row>
    <row r="90" spans="1:4" x14ac:dyDescent="0.2">
      <c r="A90" s="1">
        <v>44896</v>
      </c>
      <c r="B90">
        <v>1.8926022751314228E-3</v>
      </c>
      <c r="C90">
        <v>-3.6998108825651611E-2</v>
      </c>
      <c r="D90">
        <v>-5.2327131362811322E-2</v>
      </c>
    </row>
    <row r="91" spans="1:4" x14ac:dyDescent="0.2">
      <c r="A91" s="1">
        <v>44897</v>
      </c>
      <c r="B91">
        <v>-3.3693979661507511E-3</v>
      </c>
      <c r="C91">
        <v>-3.6930227546391858E-2</v>
      </c>
      <c r="D91">
        <v>-5.2231125574146844E-2</v>
      </c>
    </row>
    <row r="92" spans="1:4" x14ac:dyDescent="0.2">
      <c r="A92" s="1">
        <v>44900</v>
      </c>
      <c r="B92">
        <v>-8.0195326861581141E-3</v>
      </c>
      <c r="C92">
        <v>-3.6754550427428569E-2</v>
      </c>
      <c r="D92">
        <v>-5.198266207227567E-2</v>
      </c>
    </row>
    <row r="93" spans="1:4" x14ac:dyDescent="0.2">
      <c r="A93" s="1">
        <v>44901</v>
      </c>
      <c r="B93">
        <v>-2.5695256204261996E-2</v>
      </c>
      <c r="C93">
        <v>-3.6767227571668504E-2</v>
      </c>
      <c r="D93">
        <v>-5.2000591599297555E-2</v>
      </c>
    </row>
    <row r="94" spans="1:4" x14ac:dyDescent="0.2">
      <c r="A94" s="1">
        <v>44902</v>
      </c>
      <c r="B94">
        <v>-1.3895824038042678E-2</v>
      </c>
      <c r="C94">
        <v>-3.6791822916408652E-2</v>
      </c>
      <c r="D94">
        <v>-5.2035377264726998E-2</v>
      </c>
    </row>
    <row r="95" spans="1:4" x14ac:dyDescent="0.2">
      <c r="A95" s="1">
        <v>44903</v>
      </c>
      <c r="B95">
        <v>1.2066986974349022E-2</v>
      </c>
      <c r="C95">
        <v>-3.6696374302041632E-2</v>
      </c>
      <c r="D95">
        <v>-5.1900382467941104E-2</v>
      </c>
    </row>
    <row r="96" spans="1:4" x14ac:dyDescent="0.2">
      <c r="A96" s="1">
        <v>44904</v>
      </c>
      <c r="B96">
        <v>-3.439003938732671E-3</v>
      </c>
      <c r="C96">
        <v>-3.6637923668294436E-2</v>
      </c>
      <c r="D96">
        <v>-5.1817714621194069E-2</v>
      </c>
    </row>
    <row r="97" spans="1:4" x14ac:dyDescent="0.2">
      <c r="A97" s="1">
        <v>44907</v>
      </c>
      <c r="B97">
        <v>1.6269627676909676E-2</v>
      </c>
      <c r="C97">
        <v>-3.6673069671890032E-2</v>
      </c>
      <c r="D97">
        <v>-5.1867422284785497E-2</v>
      </c>
    </row>
    <row r="98" spans="1:4" x14ac:dyDescent="0.2">
      <c r="A98" s="1">
        <v>44908</v>
      </c>
      <c r="B98">
        <v>6.7418190490181953E-3</v>
      </c>
      <c r="C98">
        <v>-3.6557547935851496E-2</v>
      </c>
      <c r="D98">
        <v>-5.170403768895563E-2</v>
      </c>
    </row>
    <row r="99" spans="1:4" x14ac:dyDescent="0.2">
      <c r="A99" s="1">
        <v>44909</v>
      </c>
      <c r="B99">
        <v>-1.5655566442683601E-2</v>
      </c>
      <c r="C99">
        <v>-3.6360819418219024E-2</v>
      </c>
      <c r="D99">
        <v>-5.1425800792213816E-2</v>
      </c>
    </row>
    <row r="100" spans="1:4" x14ac:dyDescent="0.2">
      <c r="A100" s="1">
        <v>44910</v>
      </c>
      <c r="B100">
        <v>-4.7994448227809634E-2</v>
      </c>
      <c r="C100">
        <v>-3.6687228997415673E-2</v>
      </c>
      <c r="D100">
        <v>-5.188744808908486E-2</v>
      </c>
    </row>
    <row r="101" spans="1:4" x14ac:dyDescent="0.2">
      <c r="A101" s="1">
        <v>44911</v>
      </c>
      <c r="B101">
        <v>-1.4666669638435624E-2</v>
      </c>
      <c r="C101">
        <v>-3.6707454653887694E-2</v>
      </c>
      <c r="D101">
        <v>-5.1916053621008068E-2</v>
      </c>
    </row>
    <row r="102" spans="1:4" x14ac:dyDescent="0.2">
      <c r="A102" s="1">
        <v>44914</v>
      </c>
      <c r="B102">
        <v>-1.6043348800443589E-2</v>
      </c>
      <c r="C102">
        <v>-3.6682115010971399E-2</v>
      </c>
      <c r="D102">
        <v>-5.188021528046434E-2</v>
      </c>
    </row>
    <row r="103" spans="1:4" x14ac:dyDescent="0.2">
      <c r="A103" s="1">
        <v>44915</v>
      </c>
      <c r="B103">
        <v>-5.297647277567024E-4</v>
      </c>
      <c r="C103">
        <v>-3.664305220032598E-2</v>
      </c>
      <c r="D103">
        <v>-5.1824968001916251E-2</v>
      </c>
    </row>
    <row r="104" spans="1:4" x14ac:dyDescent="0.2">
      <c r="A104" s="1">
        <v>44916</v>
      </c>
      <c r="B104">
        <v>2.3543356500285134E-2</v>
      </c>
      <c r="C104">
        <v>-3.6729474643324919E-2</v>
      </c>
      <c r="D104">
        <v>-5.1947196912285991E-2</v>
      </c>
    </row>
    <row r="105" spans="1:4" x14ac:dyDescent="0.2">
      <c r="A105" s="1">
        <v>44917</v>
      </c>
      <c r="B105">
        <v>-2.408108591244482E-2</v>
      </c>
      <c r="C105">
        <v>-3.672325096802477E-2</v>
      </c>
      <c r="D105">
        <v>-5.1938394649539942E-2</v>
      </c>
    </row>
    <row r="106" spans="1:4" x14ac:dyDescent="0.2">
      <c r="A106" s="1">
        <v>44918</v>
      </c>
      <c r="B106">
        <v>-2.7931581980861842E-3</v>
      </c>
      <c r="C106">
        <v>-3.6720487478280425E-2</v>
      </c>
      <c r="D106">
        <v>-5.1934486193257662E-2</v>
      </c>
    </row>
    <row r="107" spans="1:4" x14ac:dyDescent="0.2">
      <c r="A107" s="1">
        <v>44922</v>
      </c>
      <c r="B107">
        <v>-1.3974629668408184E-2</v>
      </c>
      <c r="C107">
        <v>-3.6744046539464281E-2</v>
      </c>
      <c r="D107">
        <v>-5.1967806223077603E-2</v>
      </c>
    </row>
    <row r="108" spans="1:4" x14ac:dyDescent="0.2">
      <c r="A108" s="1">
        <v>44923</v>
      </c>
      <c r="B108">
        <v>-3.1165602776479704E-2</v>
      </c>
      <c r="C108">
        <v>-3.6871447272381931E-2</v>
      </c>
      <c r="D108">
        <v>-5.2147991510885554E-2</v>
      </c>
    </row>
    <row r="109" spans="1:4" x14ac:dyDescent="0.2">
      <c r="A109" s="1">
        <v>44924</v>
      </c>
      <c r="B109">
        <v>2.7925428071686093E-2</v>
      </c>
      <c r="C109">
        <v>-3.699632821459721E-2</v>
      </c>
      <c r="D109">
        <v>-5.2324613010616916E-2</v>
      </c>
    </row>
    <row r="110" spans="1:4" x14ac:dyDescent="0.2">
      <c r="A110" s="1">
        <v>44925</v>
      </c>
      <c r="B110">
        <v>2.4741247490177899E-3</v>
      </c>
      <c r="C110">
        <v>-3.6899115420997136E-2</v>
      </c>
      <c r="D110">
        <v>-5.2187123101475129E-2</v>
      </c>
    </row>
    <row r="111" spans="1:4" x14ac:dyDescent="0.2">
      <c r="A111" s="1">
        <v>44929</v>
      </c>
      <c r="B111">
        <v>-3.8119661728740914E-2</v>
      </c>
      <c r="C111">
        <v>-3.7078440629608668E-2</v>
      </c>
      <c r="D111">
        <v>-5.2440746166153865E-2</v>
      </c>
    </row>
    <row r="112" spans="1:4" x14ac:dyDescent="0.2">
      <c r="A112" s="1">
        <v>44930</v>
      </c>
      <c r="B112">
        <v>1.0248127773391963E-2</v>
      </c>
      <c r="C112">
        <v>-3.7001883420817554E-2</v>
      </c>
      <c r="D112">
        <v>-5.2332469844786719E-2</v>
      </c>
    </row>
    <row r="113" spans="1:4" x14ac:dyDescent="0.2">
      <c r="A113" s="1">
        <v>44931</v>
      </c>
      <c r="B113">
        <v>-1.0646267086782547E-2</v>
      </c>
      <c r="C113">
        <v>-3.6979244355007053E-2</v>
      </c>
      <c r="D113">
        <v>-5.2300450981979982E-2</v>
      </c>
    </row>
    <row r="114" spans="1:4" x14ac:dyDescent="0.2">
      <c r="A114" s="1">
        <v>44932</v>
      </c>
      <c r="B114">
        <v>3.6122065243447618E-2</v>
      </c>
      <c r="C114">
        <v>-3.7182445201190725E-2</v>
      </c>
      <c r="D114">
        <v>-5.258784181650597E-2</v>
      </c>
    </row>
    <row r="115" spans="1:4" x14ac:dyDescent="0.2">
      <c r="A115" s="1">
        <v>44935</v>
      </c>
      <c r="B115">
        <v>4.0833944172063577E-3</v>
      </c>
      <c r="C115">
        <v>-3.7186158883416198E-2</v>
      </c>
      <c r="D115">
        <v>-5.2593094148147231E-2</v>
      </c>
    </row>
    <row r="116" spans="1:4" x14ac:dyDescent="0.2">
      <c r="A116" s="1">
        <v>44936</v>
      </c>
      <c r="B116">
        <v>4.4554606271663523E-3</v>
      </c>
      <c r="C116">
        <v>-3.7144660326399431E-2</v>
      </c>
      <c r="D116">
        <v>-5.2534401947023759E-2</v>
      </c>
    </row>
    <row r="117" spans="1:4" x14ac:dyDescent="0.2">
      <c r="A117" s="1">
        <v>44937</v>
      </c>
      <c r="B117">
        <v>2.0888889597930383E-2</v>
      </c>
      <c r="C117">
        <v>-3.7213397069236022E-2</v>
      </c>
      <c r="D117">
        <v>-5.2631617634150134E-2</v>
      </c>
    </row>
    <row r="118" spans="1:4" x14ac:dyDescent="0.2">
      <c r="A118" s="1">
        <v>44938</v>
      </c>
      <c r="B118">
        <v>-5.9385589319956803E-4</v>
      </c>
      <c r="C118">
        <v>-3.7165263957155373E-2</v>
      </c>
      <c r="D118">
        <v>-5.2563542055189767E-2</v>
      </c>
    </row>
    <row r="119" spans="1:4" x14ac:dyDescent="0.2">
      <c r="A119" s="1">
        <v>44939</v>
      </c>
      <c r="B119">
        <v>1.005543842528513E-2</v>
      </c>
      <c r="C119">
        <v>-3.7177624149530103E-2</v>
      </c>
      <c r="D119">
        <v>-5.2581023311140167E-2</v>
      </c>
    </row>
    <row r="120" spans="1:4" x14ac:dyDescent="0.2">
      <c r="A120" s="1">
        <v>44943</v>
      </c>
      <c r="B120">
        <v>8.722862220763546E-3</v>
      </c>
      <c r="C120">
        <v>-3.7142662728952017E-2</v>
      </c>
      <c r="D120">
        <v>-5.2531576706832873E-2</v>
      </c>
    </row>
    <row r="121" spans="1:4" x14ac:dyDescent="0.2">
      <c r="A121" s="1">
        <v>44944</v>
      </c>
      <c r="B121">
        <v>-5.3808697233060894E-3</v>
      </c>
      <c r="C121">
        <v>-3.7085025371455971E-2</v>
      </c>
      <c r="D121">
        <v>-5.2450059092207943E-2</v>
      </c>
    </row>
    <row r="122" spans="1:4" x14ac:dyDescent="0.2">
      <c r="A122" s="1">
        <v>44945</v>
      </c>
      <c r="B122">
        <v>4.4325409327114474E-4</v>
      </c>
      <c r="C122">
        <v>-3.7071600865723198E-2</v>
      </c>
      <c r="D122">
        <v>-5.2431072557564511E-2</v>
      </c>
    </row>
    <row r="123" spans="1:4" x14ac:dyDescent="0.2">
      <c r="A123" s="1">
        <v>44946</v>
      </c>
      <c r="B123">
        <v>1.9038558020131661E-2</v>
      </c>
      <c r="C123">
        <v>-3.7106880758813958E-2</v>
      </c>
      <c r="D123">
        <v>-5.2480969583624026E-2</v>
      </c>
    </row>
    <row r="124" spans="1:4" x14ac:dyDescent="0.2">
      <c r="A124" s="1">
        <v>44949</v>
      </c>
      <c r="B124">
        <v>2.3207731168740618E-2</v>
      </c>
      <c r="C124">
        <v>-3.7186880190207348E-2</v>
      </c>
      <c r="D124">
        <v>-5.2594114306106964E-2</v>
      </c>
    </row>
    <row r="125" spans="1:4" x14ac:dyDescent="0.2">
      <c r="A125" s="1">
        <v>44950</v>
      </c>
      <c r="B125">
        <v>1.0015845299679521E-2</v>
      </c>
      <c r="C125">
        <v>-3.7185687301527486E-2</v>
      </c>
      <c r="D125">
        <v>-5.2592427180882632E-2</v>
      </c>
    </row>
    <row r="126" spans="1:4" x14ac:dyDescent="0.2">
      <c r="A126" s="1">
        <v>44951</v>
      </c>
      <c r="B126">
        <v>-4.708850104370341E-3</v>
      </c>
      <c r="C126">
        <v>-3.7188344566365349E-2</v>
      </c>
      <c r="D126">
        <v>-5.2596185401252542E-2</v>
      </c>
    </row>
    <row r="127" spans="1:4" x14ac:dyDescent="0.2">
      <c r="A127" s="1">
        <v>44952</v>
      </c>
      <c r="B127">
        <v>1.4703010612075608E-2</v>
      </c>
      <c r="C127">
        <v>-3.7220784060210059E-2</v>
      </c>
      <c r="D127">
        <v>-5.2642065196453813E-2</v>
      </c>
    </row>
    <row r="128" spans="1:4" x14ac:dyDescent="0.2">
      <c r="A128" s="1">
        <v>44953</v>
      </c>
      <c r="B128">
        <v>1.3606128931388892E-2</v>
      </c>
      <c r="C128">
        <v>-3.6571839616933492E-2</v>
      </c>
      <c r="D128">
        <v>-5.1724250686244151E-2</v>
      </c>
    </row>
    <row r="129" spans="1:4" x14ac:dyDescent="0.2">
      <c r="A129" s="1">
        <v>44956</v>
      </c>
      <c r="B129">
        <v>-2.0290948748974896E-2</v>
      </c>
      <c r="C129">
        <v>-3.6524585741381933E-2</v>
      </c>
      <c r="D129">
        <v>-5.1657418628285712E-2</v>
      </c>
    </row>
    <row r="130" spans="1:4" x14ac:dyDescent="0.2">
      <c r="A130" s="1">
        <v>44957</v>
      </c>
      <c r="B130">
        <v>8.9759653699093833E-3</v>
      </c>
      <c r="C130">
        <v>-3.6538674179746523E-2</v>
      </c>
      <c r="D130">
        <v>-5.1677344175520439E-2</v>
      </c>
    </row>
    <row r="131" spans="1:4" x14ac:dyDescent="0.2">
      <c r="A131" s="1">
        <v>44958</v>
      </c>
      <c r="B131">
        <v>7.8556652362781112E-3</v>
      </c>
      <c r="C131">
        <v>-3.6540647556209359E-2</v>
      </c>
      <c r="D131">
        <v>-5.1680135159510608E-2</v>
      </c>
    </row>
    <row r="132" spans="1:4" x14ac:dyDescent="0.2">
      <c r="A132" s="1">
        <v>44959</v>
      </c>
      <c r="B132">
        <v>3.6399831498127935E-2</v>
      </c>
      <c r="C132">
        <v>-3.6705061260631014E-2</v>
      </c>
      <c r="D132">
        <v>-5.1912668599251005E-2</v>
      </c>
    </row>
    <row r="133" spans="1:4" x14ac:dyDescent="0.2">
      <c r="A133" s="1">
        <v>44960</v>
      </c>
      <c r="B133">
        <v>2.4107656689046367E-2</v>
      </c>
      <c r="C133">
        <v>-3.679415091607792E-2</v>
      </c>
      <c r="D133">
        <v>-5.203866979908546E-2</v>
      </c>
    </row>
    <row r="134" spans="1:4" x14ac:dyDescent="0.2">
      <c r="A134" s="1">
        <v>44963</v>
      </c>
      <c r="B134">
        <v>-1.8082955399810974E-2</v>
      </c>
      <c r="C134">
        <v>-3.6837918955913311E-2</v>
      </c>
      <c r="D134">
        <v>-5.2100571773068823E-2</v>
      </c>
    </row>
    <row r="135" spans="1:4" x14ac:dyDescent="0.2">
      <c r="A135" s="1">
        <v>44964</v>
      </c>
      <c r="B135">
        <v>1.9062345561279729E-2</v>
      </c>
      <c r="C135">
        <v>-3.684236260036295E-2</v>
      </c>
      <c r="D135">
        <v>-5.2106856504213914E-2</v>
      </c>
    </row>
    <row r="136" spans="1:4" x14ac:dyDescent="0.2">
      <c r="A136" s="1">
        <v>44965</v>
      </c>
      <c r="B136">
        <v>-1.7817607096756304E-2</v>
      </c>
      <c r="C136">
        <v>-3.6875047502992447E-2</v>
      </c>
      <c r="D136">
        <v>-5.2153083385742753E-2</v>
      </c>
    </row>
    <row r="137" spans="1:4" x14ac:dyDescent="0.2">
      <c r="A137" s="1">
        <v>44966</v>
      </c>
      <c r="B137">
        <v>-6.9326577697587342E-3</v>
      </c>
      <c r="C137">
        <v>-3.6800936080175428E-2</v>
      </c>
      <c r="D137">
        <v>-5.2048266186152742E-2</v>
      </c>
    </row>
    <row r="138" spans="1:4" x14ac:dyDescent="0.2">
      <c r="A138" s="1">
        <v>44967</v>
      </c>
      <c r="B138">
        <v>2.4617963358496272E-3</v>
      </c>
      <c r="C138">
        <v>-3.6743064730214457E-2</v>
      </c>
      <c r="D138">
        <v>-5.1966417631519289E-2</v>
      </c>
    </row>
    <row r="139" spans="1:4" x14ac:dyDescent="0.2">
      <c r="A139" s="1">
        <v>44970</v>
      </c>
      <c r="B139">
        <v>1.8628932550718354E-2</v>
      </c>
      <c r="C139">
        <v>-3.6795986393701269E-2</v>
      </c>
      <c r="D139">
        <v>-5.2041265750115362E-2</v>
      </c>
    </row>
    <row r="140" spans="1:4" x14ac:dyDescent="0.2">
      <c r="A140" s="1">
        <v>44971</v>
      </c>
      <c r="B140">
        <v>-4.2423064556176863E-3</v>
      </c>
      <c r="C140">
        <v>-3.6717610857442913E-2</v>
      </c>
      <c r="D140">
        <v>-5.1930417733511383E-2</v>
      </c>
    </row>
    <row r="141" spans="1:4" x14ac:dyDescent="0.2">
      <c r="A141" s="1">
        <v>44972</v>
      </c>
      <c r="B141">
        <v>1.381690702516071E-2</v>
      </c>
      <c r="C141">
        <v>-3.6747476004108062E-2</v>
      </c>
      <c r="D141">
        <v>-5.1972656580369238E-2</v>
      </c>
    </row>
    <row r="142" spans="1:4" x14ac:dyDescent="0.2">
      <c r="A142" s="1">
        <v>44973</v>
      </c>
      <c r="B142">
        <v>-1.0491580931914594E-2</v>
      </c>
      <c r="C142">
        <v>-3.6696369570543688E-2</v>
      </c>
      <c r="D142">
        <v>-5.1900375776093272E-2</v>
      </c>
    </row>
    <row r="143" spans="1:4" x14ac:dyDescent="0.2">
      <c r="A143" s="1">
        <v>44974</v>
      </c>
      <c r="B143">
        <v>-7.5790561744557925E-3</v>
      </c>
      <c r="C143">
        <v>-3.6691964637742713E-2</v>
      </c>
      <c r="D143">
        <v>-5.1894145795571646E-2</v>
      </c>
    </row>
    <row r="144" spans="1:4" x14ac:dyDescent="0.2">
      <c r="A144" s="1">
        <v>44978</v>
      </c>
      <c r="B144">
        <v>-2.7043066115024016E-2</v>
      </c>
      <c r="C144">
        <v>-3.6751548302616517E-2</v>
      </c>
      <c r="D144">
        <v>-5.1978416109863153E-2</v>
      </c>
    </row>
    <row r="145" spans="1:4" x14ac:dyDescent="0.2">
      <c r="A145" s="1">
        <v>44979</v>
      </c>
      <c r="B145">
        <v>2.8996107549841927E-3</v>
      </c>
      <c r="C145">
        <v>-3.665418370352784E-2</v>
      </c>
      <c r="D145">
        <v>-5.1840711499321866E-2</v>
      </c>
    </row>
    <row r="146" spans="1:4" x14ac:dyDescent="0.2">
      <c r="A146" s="1">
        <v>44980</v>
      </c>
      <c r="B146">
        <v>3.2783569576341465E-3</v>
      </c>
      <c r="C146">
        <v>-3.6614239001316551E-2</v>
      </c>
      <c r="D146">
        <v>-5.1784216944702643E-2</v>
      </c>
    </row>
    <row r="147" spans="1:4" x14ac:dyDescent="0.2">
      <c r="A147" s="1">
        <v>44981</v>
      </c>
      <c r="B147">
        <v>-1.8165436587942119E-2</v>
      </c>
      <c r="C147">
        <v>-3.6635005649965913E-2</v>
      </c>
      <c r="D147">
        <v>-5.1813587612186254E-2</v>
      </c>
    </row>
    <row r="148" spans="1:4" x14ac:dyDescent="0.2">
      <c r="A148" s="1">
        <v>44984</v>
      </c>
      <c r="B148">
        <v>8.2225072800470641E-3</v>
      </c>
      <c r="C148">
        <v>-3.664547334283455E-2</v>
      </c>
      <c r="D148">
        <v>-5.1828392269969811E-2</v>
      </c>
    </row>
    <row r="149" spans="1:4" x14ac:dyDescent="0.2">
      <c r="A149" s="1">
        <v>44985</v>
      </c>
      <c r="B149">
        <v>-3.4625645180425446E-3</v>
      </c>
      <c r="C149">
        <v>-3.6627861315608412E-2</v>
      </c>
      <c r="D149">
        <v>-5.180348324376606E-2</v>
      </c>
    </row>
    <row r="150" spans="1:4" x14ac:dyDescent="0.2">
      <c r="A150" s="1">
        <v>44986</v>
      </c>
      <c r="B150">
        <v>-1.4348343476182327E-2</v>
      </c>
      <c r="C150">
        <v>-3.6591931216118798E-2</v>
      </c>
      <c r="D150">
        <v>-5.1752666618388489E-2</v>
      </c>
    </row>
    <row r="151" spans="1:4" x14ac:dyDescent="0.2">
      <c r="A151" s="1">
        <v>44987</v>
      </c>
      <c r="B151">
        <v>4.1106446790815125E-3</v>
      </c>
      <c r="C151">
        <v>-3.659477907441587E-2</v>
      </c>
      <c r="D151">
        <v>-5.1756694398724927E-2</v>
      </c>
    </row>
    <row r="152" spans="1:4" x14ac:dyDescent="0.2">
      <c r="A152" s="1">
        <v>44988</v>
      </c>
      <c r="B152">
        <v>3.45097449261072E-2</v>
      </c>
      <c r="C152">
        <v>-3.6726102530626782E-2</v>
      </c>
      <c r="D152">
        <v>-5.1942427668945551E-2</v>
      </c>
    </row>
    <row r="153" spans="1:4" x14ac:dyDescent="0.2">
      <c r="A153" s="1">
        <v>44991</v>
      </c>
      <c r="B153">
        <v>1.8369289598666443E-2</v>
      </c>
      <c r="C153">
        <v>-3.6693542974166861E-2</v>
      </c>
      <c r="D153">
        <v>-5.1896378066896377E-2</v>
      </c>
    </row>
    <row r="154" spans="1:4" x14ac:dyDescent="0.2">
      <c r="A154" s="1">
        <v>44992</v>
      </c>
      <c r="B154">
        <v>-1.4608109747118821E-2</v>
      </c>
      <c r="C154">
        <v>-3.6704531237689977E-2</v>
      </c>
      <c r="D154">
        <v>-5.1911918977690839E-2</v>
      </c>
    </row>
    <row r="155" spans="1:4" x14ac:dyDescent="0.2">
      <c r="A155" s="1">
        <v>44993</v>
      </c>
      <c r="B155">
        <v>8.3366302836139061E-3</v>
      </c>
      <c r="C155">
        <v>-3.6538083425460353E-2</v>
      </c>
      <c r="D155">
        <v>-5.1676508660459884E-2</v>
      </c>
    </row>
    <row r="156" spans="1:4" x14ac:dyDescent="0.2">
      <c r="A156" s="1">
        <v>44994</v>
      </c>
      <c r="B156">
        <v>-1.5030738369565314E-2</v>
      </c>
      <c r="C156">
        <v>-3.6459526026186989E-2</v>
      </c>
      <c r="D156">
        <v>-5.1565403431523209E-2</v>
      </c>
    </row>
    <row r="157" spans="1:4" x14ac:dyDescent="0.2">
      <c r="A157" s="1">
        <v>44995</v>
      </c>
      <c r="B157">
        <v>-1.3974950825676983E-2</v>
      </c>
      <c r="C157">
        <v>-3.6401688583843315E-2</v>
      </c>
      <c r="D157">
        <v>-5.1483602833079969E-2</v>
      </c>
    </row>
    <row r="158" spans="1:4" x14ac:dyDescent="0.2">
      <c r="A158" s="1">
        <v>44998</v>
      </c>
      <c r="B158">
        <v>1.3172953202161717E-2</v>
      </c>
      <c r="C158">
        <v>-3.6320145555478744E-2</v>
      </c>
      <c r="D158">
        <v>-5.1368274971943559E-2</v>
      </c>
    </row>
    <row r="159" spans="1:4" x14ac:dyDescent="0.2">
      <c r="A159" s="1">
        <v>44999</v>
      </c>
      <c r="B159">
        <v>1.39994453215919E-2</v>
      </c>
      <c r="C159">
        <v>-3.6221495019033552E-2</v>
      </c>
      <c r="D159">
        <v>-5.1228751635658855E-2</v>
      </c>
    </row>
    <row r="160" spans="1:4" x14ac:dyDescent="0.2">
      <c r="A160" s="1">
        <v>45000</v>
      </c>
      <c r="B160">
        <v>2.622695441613844E-3</v>
      </c>
      <c r="C160">
        <v>-3.6098555789310469E-2</v>
      </c>
      <c r="D160">
        <v>-5.1054876336959744E-2</v>
      </c>
    </row>
    <row r="161" spans="1:4" x14ac:dyDescent="0.2">
      <c r="A161" s="1">
        <v>45001</v>
      </c>
      <c r="B161">
        <v>1.851381592706117E-2</v>
      </c>
      <c r="C161">
        <v>-3.6144411762550642E-2</v>
      </c>
      <c r="D161">
        <v>-5.1119731315002422E-2</v>
      </c>
    </row>
    <row r="162" spans="1:4" x14ac:dyDescent="0.2">
      <c r="A162" s="1">
        <v>45002</v>
      </c>
      <c r="B162">
        <v>-5.4698090096878633E-3</v>
      </c>
      <c r="C162">
        <v>-3.6083065559810695E-2</v>
      </c>
      <c r="D162">
        <v>-5.1032968209771552E-2</v>
      </c>
    </row>
    <row r="163" spans="1:4" x14ac:dyDescent="0.2">
      <c r="A163" s="1">
        <v>45005</v>
      </c>
      <c r="B163">
        <v>1.5367032064066288E-2</v>
      </c>
      <c r="C163">
        <v>-3.6108080645275126E-2</v>
      </c>
      <c r="D163">
        <v>-5.1068347522517446E-2</v>
      </c>
    </row>
    <row r="164" spans="1:4" x14ac:dyDescent="0.2">
      <c r="A164" s="1">
        <v>45006</v>
      </c>
      <c r="B164">
        <v>1.1872370412766469E-2</v>
      </c>
      <c r="C164">
        <v>-3.6065238474754617E-2</v>
      </c>
      <c r="D164">
        <v>-5.1007755023174881E-2</v>
      </c>
    </row>
    <row r="165" spans="1:4" x14ac:dyDescent="0.2">
      <c r="A165" s="1">
        <v>45007</v>
      </c>
      <c r="B165">
        <v>-9.1497215196752503E-3</v>
      </c>
      <c r="C165">
        <v>-3.6066401910224984E-2</v>
      </c>
      <c r="D165">
        <v>-5.1009400492162946E-2</v>
      </c>
    </row>
    <row r="166" spans="1:4" x14ac:dyDescent="0.2">
      <c r="A166" s="1">
        <v>45008</v>
      </c>
      <c r="B166">
        <v>6.9435382130867522E-3</v>
      </c>
      <c r="C166">
        <v>-3.5996567755512694E-2</v>
      </c>
      <c r="D166">
        <v>-5.0910632714478404E-2</v>
      </c>
    </row>
    <row r="167" spans="1:4" x14ac:dyDescent="0.2">
      <c r="A167" s="1">
        <v>45009</v>
      </c>
      <c r="B167">
        <v>8.2830291031992624E-3</v>
      </c>
      <c r="C167">
        <v>-3.6005271328846303E-2</v>
      </c>
      <c r="D167">
        <v>-5.0922942344338126E-2</v>
      </c>
    </row>
    <row r="168" spans="1:4" x14ac:dyDescent="0.2">
      <c r="A168" s="1">
        <v>45012</v>
      </c>
      <c r="B168">
        <v>-1.2370293611400442E-2</v>
      </c>
      <c r="C168">
        <v>-3.602266063228346E-2</v>
      </c>
      <c r="D168">
        <v>-5.094753636803679E-2</v>
      </c>
    </row>
    <row r="169" spans="1:4" x14ac:dyDescent="0.2">
      <c r="A169" s="1">
        <v>45013</v>
      </c>
      <c r="B169">
        <v>-3.9882012537598649E-3</v>
      </c>
      <c r="C169">
        <v>-3.5967748611303946E-2</v>
      </c>
      <c r="D169">
        <v>-5.0869873248855946E-2</v>
      </c>
    </row>
    <row r="170" spans="1:4" x14ac:dyDescent="0.2">
      <c r="A170" s="1">
        <v>45014</v>
      </c>
      <c r="B170">
        <v>1.9594539100357841E-2</v>
      </c>
      <c r="C170">
        <v>-3.6022392635793883E-2</v>
      </c>
      <c r="D170">
        <v>-5.0947157335487291E-2</v>
      </c>
    </row>
    <row r="171" spans="1:4" x14ac:dyDescent="0.2">
      <c r="A171" s="1">
        <v>45015</v>
      </c>
      <c r="B171">
        <v>9.8394904006382563E-3</v>
      </c>
      <c r="C171">
        <v>-3.5991013263419934E-2</v>
      </c>
      <c r="D171">
        <v>-5.0902776890312869E-2</v>
      </c>
    </row>
    <row r="172" spans="1:4" x14ac:dyDescent="0.2">
      <c r="A172" s="1">
        <v>45016</v>
      </c>
      <c r="B172">
        <v>1.5531006226753064E-2</v>
      </c>
      <c r="C172">
        <v>-3.6028167676324704E-2</v>
      </c>
      <c r="D172">
        <v>-5.0955325085517596E-2</v>
      </c>
    </row>
    <row r="173" spans="1:4" x14ac:dyDescent="0.2">
      <c r="A173" s="1">
        <v>45019</v>
      </c>
      <c r="B173">
        <v>7.666817598775506E-3</v>
      </c>
      <c r="C173">
        <v>-3.5952987356596612E-2</v>
      </c>
      <c r="D173">
        <v>-5.0848996124628044E-2</v>
      </c>
    </row>
    <row r="174" spans="1:4" x14ac:dyDescent="0.2">
      <c r="A174" s="1">
        <v>45020</v>
      </c>
      <c r="B174">
        <v>-3.2532086833434973E-3</v>
      </c>
      <c r="C174">
        <v>-3.5900340023520286E-2</v>
      </c>
      <c r="D174">
        <v>-5.0774535996766679E-2</v>
      </c>
    </row>
    <row r="175" spans="1:4" x14ac:dyDescent="0.2">
      <c r="A175" s="1">
        <v>45021</v>
      </c>
      <c r="B175">
        <v>-1.1364983653362307E-2</v>
      </c>
      <c r="C175">
        <v>-3.5867910595210557E-2</v>
      </c>
      <c r="D175">
        <v>-5.072867043744362E-2</v>
      </c>
    </row>
    <row r="176" spans="1:4" x14ac:dyDescent="0.2">
      <c r="A176" s="1">
        <v>45022</v>
      </c>
      <c r="B176">
        <v>5.4922619519308068E-3</v>
      </c>
      <c r="C176">
        <v>-3.5872169760255861E-2</v>
      </c>
      <c r="D176">
        <v>-5.0734694255846653E-2</v>
      </c>
    </row>
    <row r="177" spans="1:4" x14ac:dyDescent="0.2">
      <c r="A177" s="1">
        <v>45026</v>
      </c>
      <c r="B177">
        <v>-1.6104687793434918E-2</v>
      </c>
      <c r="C177">
        <v>-3.5889432550362386E-2</v>
      </c>
      <c r="D177">
        <v>-5.0759109349327501E-2</v>
      </c>
    </row>
    <row r="178" spans="1:4" x14ac:dyDescent="0.2">
      <c r="A178" s="1">
        <v>45027</v>
      </c>
      <c r="B178">
        <v>-7.6174084627643442E-3</v>
      </c>
      <c r="C178">
        <v>-3.5797812645005415E-2</v>
      </c>
      <c r="D178">
        <v>-5.0629529568759407E-2</v>
      </c>
    </row>
    <row r="179" spans="1:4" x14ac:dyDescent="0.2">
      <c r="A179" s="1">
        <v>45028</v>
      </c>
      <c r="B179">
        <v>-4.3690418104662641E-3</v>
      </c>
      <c r="C179">
        <v>-3.5780258240852979E-2</v>
      </c>
      <c r="D179">
        <v>-5.0604702039968433E-2</v>
      </c>
    </row>
    <row r="180" spans="1:4" x14ac:dyDescent="0.2">
      <c r="A180" s="1">
        <v>45029</v>
      </c>
      <c r="B180">
        <v>3.3535017024282937E-2</v>
      </c>
      <c r="C180">
        <v>-3.5911433595017542E-2</v>
      </c>
      <c r="D180">
        <v>-5.0790225846638601E-2</v>
      </c>
    </row>
    <row r="181" spans="1:4" x14ac:dyDescent="0.2">
      <c r="A181" s="1">
        <v>45030</v>
      </c>
      <c r="B181">
        <v>-2.1101324821827523E-3</v>
      </c>
      <c r="C181">
        <v>-3.5771983883640272E-2</v>
      </c>
      <c r="D181">
        <v>-5.0592999458659416E-2</v>
      </c>
    </row>
    <row r="182" spans="1:4" x14ac:dyDescent="0.2">
      <c r="A182" s="1">
        <v>45033</v>
      </c>
      <c r="B182">
        <v>1.1666426187776603E-4</v>
      </c>
      <c r="C182">
        <v>-3.5771704362246054E-2</v>
      </c>
      <c r="D182">
        <v>-5.0592604126217341E-2</v>
      </c>
    </row>
    <row r="183" spans="1:4" x14ac:dyDescent="0.2">
      <c r="A183" s="1">
        <v>45034</v>
      </c>
      <c r="B183">
        <v>7.4810036842293329E-3</v>
      </c>
      <c r="C183">
        <v>-3.5750465151607368E-2</v>
      </c>
      <c r="D183">
        <v>-5.0562565105294124E-2</v>
      </c>
    </row>
    <row r="184" spans="1:4" x14ac:dyDescent="0.2">
      <c r="A184" s="1">
        <v>45035</v>
      </c>
      <c r="B184">
        <v>6.9353627838648632E-3</v>
      </c>
      <c r="C184">
        <v>-3.5757567116505233E-2</v>
      </c>
      <c r="D184">
        <v>-5.0572609549779005E-2</v>
      </c>
    </row>
    <row r="185" spans="1:4" x14ac:dyDescent="0.2">
      <c r="A185" s="1">
        <v>45036</v>
      </c>
      <c r="B185">
        <v>-5.857287500454971E-3</v>
      </c>
      <c r="C185">
        <v>-3.5759294331832753E-2</v>
      </c>
      <c r="D185">
        <v>-5.0575052383377908E-2</v>
      </c>
    </row>
    <row r="186" spans="1:4" x14ac:dyDescent="0.2">
      <c r="A186" s="1">
        <v>45037</v>
      </c>
      <c r="B186">
        <v>-9.8308396057293843E-3</v>
      </c>
      <c r="C186">
        <v>-3.5652088027901124E-2</v>
      </c>
      <c r="D186">
        <v>-5.0423428461863783E-2</v>
      </c>
    </row>
    <row r="187" spans="1:4" x14ac:dyDescent="0.2">
      <c r="A187" s="1">
        <v>45040</v>
      </c>
      <c r="B187">
        <v>1.8855588405181087E-3</v>
      </c>
      <c r="C187">
        <v>-3.564585806142849E-2</v>
      </c>
      <c r="D187">
        <v>-5.041461730139242E-2</v>
      </c>
    </row>
    <row r="188" spans="1:4" x14ac:dyDescent="0.2">
      <c r="A188" s="1">
        <v>45041</v>
      </c>
      <c r="B188">
        <v>-9.4945226184593948E-3</v>
      </c>
      <c r="C188">
        <v>-3.5437113743470097E-2</v>
      </c>
      <c r="D188">
        <v>-5.0119386228947002E-2</v>
      </c>
    </row>
    <row r="189" spans="1:4" x14ac:dyDescent="0.2">
      <c r="A189" s="1">
        <v>45042</v>
      </c>
      <c r="B189">
        <v>-6.1948273211765302E-5</v>
      </c>
      <c r="C189">
        <v>-3.5436691826650192E-2</v>
      </c>
      <c r="D189">
        <v>-5.0118789503937E-2</v>
      </c>
    </row>
    <row r="190" spans="1:4" x14ac:dyDescent="0.2">
      <c r="A190" s="1">
        <v>45043</v>
      </c>
      <c r="B190">
        <v>2.8008244488632095E-2</v>
      </c>
      <c r="C190">
        <v>-3.5257966681687125E-2</v>
      </c>
      <c r="D190">
        <v>-4.9866015120727553E-2</v>
      </c>
    </row>
    <row r="191" spans="1:4" x14ac:dyDescent="0.2">
      <c r="A191" s="1">
        <v>45044</v>
      </c>
      <c r="B191">
        <v>7.5076644194690305E-3</v>
      </c>
      <c r="C191">
        <v>-3.5048586352172902E-2</v>
      </c>
      <c r="D191">
        <v>-4.9569884525001447E-2</v>
      </c>
    </row>
    <row r="192" spans="1:4" x14ac:dyDescent="0.2">
      <c r="A192" s="1">
        <v>45047</v>
      </c>
      <c r="B192">
        <v>-5.2029604223735029E-4</v>
      </c>
      <c r="C192">
        <v>-3.504827057669839E-2</v>
      </c>
      <c r="D192">
        <v>-4.9569437917721774E-2</v>
      </c>
    </row>
    <row r="193" spans="1:4" x14ac:dyDescent="0.2">
      <c r="A193" s="1">
        <v>45048</v>
      </c>
      <c r="B193">
        <v>-6.2166043795148325E-3</v>
      </c>
      <c r="C193">
        <v>-3.5041367170692082E-2</v>
      </c>
      <c r="D193">
        <v>-4.9559674298866409E-2</v>
      </c>
    </row>
    <row r="194" spans="1:4" x14ac:dyDescent="0.2">
      <c r="A194" s="1">
        <v>45049</v>
      </c>
      <c r="B194">
        <v>-6.4917450974560295E-3</v>
      </c>
      <c r="C194">
        <v>-3.4798828055002722E-2</v>
      </c>
      <c r="D194">
        <v>-4.921664659906954E-2</v>
      </c>
    </row>
    <row r="195" spans="1:4" x14ac:dyDescent="0.2">
      <c r="A195" s="1">
        <v>45050</v>
      </c>
      <c r="B195">
        <v>-9.954995890888392E-3</v>
      </c>
      <c r="C195">
        <v>-3.4294839039319715E-2</v>
      </c>
      <c r="D195">
        <v>-4.8503845316351712E-2</v>
      </c>
    </row>
    <row r="196" spans="1:4" x14ac:dyDescent="0.2">
      <c r="A196" s="1">
        <v>45051</v>
      </c>
      <c r="B196">
        <v>4.5853647302210587E-2</v>
      </c>
      <c r="C196">
        <v>-3.4618543632782474E-2</v>
      </c>
      <c r="D196">
        <v>-4.8961666900278915E-2</v>
      </c>
    </row>
    <row r="197" spans="1:4" x14ac:dyDescent="0.2">
      <c r="A197" s="1">
        <v>45054</v>
      </c>
      <c r="B197">
        <v>-4.0337549836223893E-4</v>
      </c>
      <c r="C197">
        <v>-3.4434136466702313E-2</v>
      </c>
      <c r="D197">
        <v>-4.8700856326171139E-2</v>
      </c>
    </row>
    <row r="198" spans="1:4" x14ac:dyDescent="0.2">
      <c r="A198" s="1">
        <v>45055</v>
      </c>
      <c r="B198">
        <v>-1.0007693539645143E-2</v>
      </c>
      <c r="C198">
        <v>-3.4413610140826958E-2</v>
      </c>
      <c r="D198">
        <v>-4.867182555177299E-2</v>
      </c>
    </row>
    <row r="199" spans="1:4" x14ac:dyDescent="0.2">
      <c r="A199" s="1">
        <v>45056</v>
      </c>
      <c r="B199">
        <v>1.0323392552492379E-2</v>
      </c>
      <c r="C199">
        <v>-3.3968974173239491E-2</v>
      </c>
      <c r="D199">
        <v>-4.8042968417636216E-2</v>
      </c>
    </row>
    <row r="200" spans="1:4" x14ac:dyDescent="0.2">
      <c r="A200" s="1">
        <v>45057</v>
      </c>
      <c r="B200">
        <v>1.1275176821434558E-3</v>
      </c>
      <c r="C200">
        <v>-3.3843050614890416E-2</v>
      </c>
      <c r="D200">
        <v>-4.7864872326010131E-2</v>
      </c>
    </row>
    <row r="201" spans="1:4" x14ac:dyDescent="0.2">
      <c r="A201" s="1">
        <v>45058</v>
      </c>
      <c r="B201">
        <v>-5.4272390256269081E-3</v>
      </c>
      <c r="C201">
        <v>-3.369762088901343E-2</v>
      </c>
      <c r="D201">
        <v>-4.7659188289404825E-2</v>
      </c>
    </row>
    <row r="202" spans="1:4" x14ac:dyDescent="0.2">
      <c r="A202" s="1">
        <v>45061</v>
      </c>
      <c r="B202">
        <v>-2.9101490603451381E-3</v>
      </c>
      <c r="C202">
        <v>-3.3678673006286755E-2</v>
      </c>
      <c r="D202">
        <v>-4.763238993727395E-2</v>
      </c>
    </row>
    <row r="203" spans="1:4" x14ac:dyDescent="0.2">
      <c r="A203" s="1">
        <v>45062</v>
      </c>
      <c r="B203">
        <v>0</v>
      </c>
      <c r="C203">
        <v>-3.3582160291004075E-2</v>
      </c>
      <c r="D203">
        <v>-4.7495890162256353E-2</v>
      </c>
    </row>
    <row r="204" spans="1:4" x14ac:dyDescent="0.2">
      <c r="A204" s="1">
        <v>45063</v>
      </c>
      <c r="B204">
        <v>3.5967667909067797E-3</v>
      </c>
      <c r="C204">
        <v>-3.3019762702211838E-2</v>
      </c>
      <c r="D204">
        <v>-4.6700480519954408E-2</v>
      </c>
    </row>
    <row r="205" spans="1:4" x14ac:dyDescent="0.2">
      <c r="A205" s="1">
        <v>45064</v>
      </c>
      <c r="B205">
        <v>1.3582185727025884E-2</v>
      </c>
      <c r="C205">
        <v>-3.2936011867254311E-2</v>
      </c>
      <c r="D205">
        <v>-4.6582030115821078E-2</v>
      </c>
    </row>
    <row r="206" spans="1:4" x14ac:dyDescent="0.2">
      <c r="A206" s="1">
        <v>45065</v>
      </c>
      <c r="B206">
        <v>6.2484091732330357E-4</v>
      </c>
      <c r="C206">
        <v>-3.293594118756496E-2</v>
      </c>
      <c r="D206">
        <v>-4.658193015218761E-2</v>
      </c>
    </row>
    <row r="207" spans="1:4" x14ac:dyDescent="0.2">
      <c r="A207" s="1">
        <v>45068</v>
      </c>
      <c r="B207">
        <v>-5.4980883640785407E-3</v>
      </c>
      <c r="C207">
        <v>-3.2698276751985722E-2</v>
      </c>
      <c r="D207">
        <v>-4.6245796805496099E-2</v>
      </c>
    </row>
    <row r="208" spans="1:4" x14ac:dyDescent="0.2">
      <c r="A208" s="1">
        <v>45069</v>
      </c>
      <c r="B208">
        <v>-1.5259777615912675E-2</v>
      </c>
      <c r="C208">
        <v>-3.2673440912297118E-2</v>
      </c>
      <c r="D208">
        <v>-4.6210671003471579E-2</v>
      </c>
    </row>
    <row r="209" spans="1:4" x14ac:dyDescent="0.2">
      <c r="A209" s="1">
        <v>45070</v>
      </c>
      <c r="B209">
        <v>1.6107861226253614E-3</v>
      </c>
      <c r="C209">
        <v>-3.267352820354294E-2</v>
      </c>
      <c r="D209">
        <v>-4.6210794461146364E-2</v>
      </c>
    </row>
    <row r="210" spans="1:4" x14ac:dyDescent="0.2">
      <c r="A210" s="1">
        <v>45071</v>
      </c>
      <c r="B210">
        <v>6.6750352140520315E-3</v>
      </c>
      <c r="C210">
        <v>-3.2597734428768024E-2</v>
      </c>
      <c r="D210">
        <v>-4.6103597879077272E-2</v>
      </c>
    </row>
    <row r="211" spans="1:4" x14ac:dyDescent="0.2">
      <c r="A211" s="1">
        <v>45072</v>
      </c>
      <c r="B211">
        <v>1.3997791919588993E-2</v>
      </c>
      <c r="C211">
        <v>-3.2369504527241695E-2</v>
      </c>
      <c r="D211">
        <v>-4.5780807973940019E-2</v>
      </c>
    </row>
    <row r="212" spans="1:4" x14ac:dyDescent="0.2">
      <c r="A212" s="1">
        <v>45076</v>
      </c>
      <c r="B212">
        <v>1.061554262943693E-2</v>
      </c>
      <c r="C212">
        <v>-3.2379856003400771E-2</v>
      </c>
      <c r="D212">
        <v>-4.5795448264213431E-2</v>
      </c>
    </row>
    <row r="213" spans="1:4" x14ac:dyDescent="0.2">
      <c r="A213" s="1">
        <v>45077</v>
      </c>
      <c r="B213">
        <v>-2.8573877955353908E-4</v>
      </c>
      <c r="C213">
        <v>-3.2379604262762214E-2</v>
      </c>
      <c r="D213">
        <v>-4.5795092222624248E-2</v>
      </c>
    </row>
    <row r="214" spans="1:4" x14ac:dyDescent="0.2">
      <c r="A214" s="1">
        <v>45078</v>
      </c>
      <c r="B214">
        <v>1.5899451519860715E-2</v>
      </c>
      <c r="C214">
        <v>-3.2375683562925459E-2</v>
      </c>
      <c r="D214">
        <v>-4.5789547102024736E-2</v>
      </c>
    </row>
    <row r="215" spans="1:4" x14ac:dyDescent="0.2">
      <c r="A215" s="1">
        <v>45079</v>
      </c>
      <c r="B215">
        <v>4.7646262589453384E-3</v>
      </c>
      <c r="C215">
        <v>-3.2107096814145329E-2</v>
      </c>
      <c r="D215">
        <v>-4.540967973766951E-2</v>
      </c>
    </row>
    <row r="216" spans="1:4" x14ac:dyDescent="0.2">
      <c r="A216" s="1">
        <v>45082</v>
      </c>
      <c r="B216">
        <v>-7.6038728370664919E-3</v>
      </c>
      <c r="C216">
        <v>-3.211607619673261E-2</v>
      </c>
      <c r="D216">
        <v>-4.5422379449820083E-2</v>
      </c>
    </row>
    <row r="217" spans="1:4" x14ac:dyDescent="0.2">
      <c r="A217" s="1">
        <v>45083</v>
      </c>
      <c r="B217">
        <v>-2.0668981872182589E-3</v>
      </c>
      <c r="C217">
        <v>-3.2070606282427819E-2</v>
      </c>
      <c r="D217">
        <v>-4.535807048229705E-2</v>
      </c>
    </row>
    <row r="218" spans="1:4" x14ac:dyDescent="0.2">
      <c r="A218" s="1">
        <v>45084</v>
      </c>
      <c r="B218">
        <v>-7.7805946729013285E-3</v>
      </c>
      <c r="C218">
        <v>-3.2077234802789095E-2</v>
      </c>
      <c r="D218">
        <v>-4.536744532513888E-2</v>
      </c>
    </row>
    <row r="219" spans="1:4" x14ac:dyDescent="0.2">
      <c r="A219" s="1">
        <v>45085</v>
      </c>
      <c r="B219">
        <v>1.5338426385263816E-2</v>
      </c>
      <c r="C219">
        <v>-3.1874072078287262E-2</v>
      </c>
      <c r="D219">
        <v>-4.5080108406835018E-2</v>
      </c>
    </row>
    <row r="220" spans="1:4" x14ac:dyDescent="0.2">
      <c r="A220" s="1">
        <v>45086</v>
      </c>
      <c r="B220">
        <v>2.1689247109449254E-3</v>
      </c>
      <c r="C220">
        <v>-3.1594095955911554E-2</v>
      </c>
      <c r="D220">
        <v>-4.4684132834055278E-2</v>
      </c>
    </row>
    <row r="221" spans="1:4" x14ac:dyDescent="0.2">
      <c r="A221" s="1">
        <v>45089</v>
      </c>
      <c r="B221">
        <v>1.5515297111644472E-2</v>
      </c>
      <c r="C221">
        <v>-3.1349339710117545E-2</v>
      </c>
      <c r="D221">
        <v>-4.4337969404840978E-2</v>
      </c>
    </row>
    <row r="222" spans="1:4" x14ac:dyDescent="0.2">
      <c r="A222" s="1">
        <v>45090</v>
      </c>
      <c r="B222">
        <v>-2.6161987336145581E-3</v>
      </c>
      <c r="C222">
        <v>-3.134714853929009E-2</v>
      </c>
      <c r="D222">
        <v>-4.433487039012466E-2</v>
      </c>
    </row>
    <row r="223" spans="1:4" x14ac:dyDescent="0.2">
      <c r="A223" s="1">
        <v>45091</v>
      </c>
      <c r="B223">
        <v>3.4812387749941971E-3</v>
      </c>
      <c r="C223">
        <v>-3.1287817918259249E-2</v>
      </c>
      <c r="D223">
        <v>-4.4250957960569194E-2</v>
      </c>
    </row>
    <row r="224" spans="1:4" x14ac:dyDescent="0.2">
      <c r="A224" s="1">
        <v>45092</v>
      </c>
      <c r="B224">
        <v>1.1139827121889672E-2</v>
      </c>
      <c r="C224">
        <v>-3.0999821603408018E-2</v>
      </c>
      <c r="D224">
        <v>-4.3843639276518576E-2</v>
      </c>
    </row>
    <row r="225" spans="1:4" x14ac:dyDescent="0.2">
      <c r="A225" s="1">
        <v>45093</v>
      </c>
      <c r="B225">
        <v>-5.8775822100979947E-3</v>
      </c>
      <c r="C225">
        <v>-3.0991487648224722E-2</v>
      </c>
      <c r="D225">
        <v>-4.3831852404662419E-2</v>
      </c>
    </row>
    <row r="226" spans="1:4" x14ac:dyDescent="0.2">
      <c r="A226" s="1">
        <v>45097</v>
      </c>
      <c r="B226">
        <v>4.8746957703745041E-4</v>
      </c>
      <c r="C226">
        <v>-3.0823556428102954E-2</v>
      </c>
      <c r="D226">
        <v>-4.3594344075341102E-2</v>
      </c>
    </row>
    <row r="227" spans="1:4" x14ac:dyDescent="0.2">
      <c r="A227" s="1">
        <v>45098</v>
      </c>
      <c r="B227">
        <v>-5.6946417377109811E-3</v>
      </c>
      <c r="C227">
        <v>-3.0827465889894906E-2</v>
      </c>
      <c r="D227">
        <v>-4.3599873301759386E-2</v>
      </c>
    </row>
    <row r="228" spans="1:4" x14ac:dyDescent="0.2">
      <c r="A228" s="1">
        <v>45099</v>
      </c>
      <c r="B228">
        <v>1.6391794972379234E-2</v>
      </c>
      <c r="C228">
        <v>-3.0796584274473054E-2</v>
      </c>
      <c r="D228">
        <v>-4.3556196843741214E-2</v>
      </c>
    </row>
    <row r="229" spans="1:4" x14ac:dyDescent="0.2">
      <c r="A229" s="1">
        <v>45100</v>
      </c>
      <c r="B229">
        <v>-1.7079979101592949E-3</v>
      </c>
      <c r="C229">
        <v>-3.0704275739955475E-2</v>
      </c>
      <c r="D229">
        <v>-4.3425643121809868E-2</v>
      </c>
    </row>
    <row r="230" spans="1:4" x14ac:dyDescent="0.2">
      <c r="A230" s="1">
        <v>45103</v>
      </c>
      <c r="B230">
        <v>-7.577382658985974E-3</v>
      </c>
      <c r="C230">
        <v>-3.0717415500949124E-2</v>
      </c>
      <c r="D230">
        <v>-4.3444226936534845E-2</v>
      </c>
    </row>
    <row r="231" spans="1:4" x14ac:dyDescent="0.2">
      <c r="A231" s="1">
        <v>45104</v>
      </c>
      <c r="B231">
        <v>1.4941568413185681E-2</v>
      </c>
      <c r="C231">
        <v>-3.0575893428858546E-2</v>
      </c>
      <c r="D231">
        <v>-4.324406956925108E-2</v>
      </c>
    </row>
    <row r="232" spans="1:4" x14ac:dyDescent="0.2">
      <c r="A232" s="1">
        <v>45105</v>
      </c>
      <c r="B232">
        <v>6.3044597649096635E-3</v>
      </c>
      <c r="C232">
        <v>-3.0556223348805214E-2</v>
      </c>
      <c r="D232">
        <v>-4.3216249799659122E-2</v>
      </c>
    </row>
    <row r="233" spans="1:4" x14ac:dyDescent="0.2">
      <c r="A233" s="1">
        <v>45106</v>
      </c>
      <c r="B233">
        <v>1.7917078159542799E-3</v>
      </c>
      <c r="C233">
        <v>-3.0488742733394358E-2</v>
      </c>
      <c r="D233">
        <v>-4.312081067752218E-2</v>
      </c>
    </row>
    <row r="234" spans="1:4" x14ac:dyDescent="0.2">
      <c r="A234" s="1">
        <v>45107</v>
      </c>
      <c r="B234">
        <v>2.28375786169389E-2</v>
      </c>
      <c r="C234">
        <v>-3.0532588460409241E-2</v>
      </c>
      <c r="D234">
        <v>-4.3182822525966037E-2</v>
      </c>
    </row>
    <row r="235" spans="1:4" x14ac:dyDescent="0.2">
      <c r="A235" s="1">
        <v>45110</v>
      </c>
      <c r="B235">
        <v>-7.8126216652871124E-3</v>
      </c>
      <c r="C235">
        <v>-3.0493215988722729E-2</v>
      </c>
      <c r="D235">
        <v>-4.3127137287898132E-2</v>
      </c>
    </row>
    <row r="236" spans="1:4" x14ac:dyDescent="0.2">
      <c r="A236" s="1">
        <v>45112</v>
      </c>
      <c r="B236">
        <v>-5.8812519059732969E-3</v>
      </c>
      <c r="C236">
        <v>-3.0489779686164419E-2</v>
      </c>
      <c r="D236">
        <v>-4.3122277259613491E-2</v>
      </c>
    </row>
    <row r="237" spans="1:4" x14ac:dyDescent="0.2">
      <c r="A237" s="1">
        <v>45113</v>
      </c>
      <c r="B237">
        <v>2.5013828812781211E-3</v>
      </c>
      <c r="C237">
        <v>-3.039914309236277E-2</v>
      </c>
      <c r="D237">
        <v>-4.2994088195343033E-2</v>
      </c>
    </row>
    <row r="238" spans="1:4" x14ac:dyDescent="0.2">
      <c r="A238" s="1">
        <v>45114</v>
      </c>
      <c r="B238">
        <v>-5.9065352661329075E-3</v>
      </c>
      <c r="C238">
        <v>-3.0405545911263463E-2</v>
      </c>
      <c r="D238">
        <v>-4.3003143824302009E-2</v>
      </c>
    </row>
    <row r="239" spans="1:4" x14ac:dyDescent="0.2">
      <c r="A239" s="1">
        <v>45117</v>
      </c>
      <c r="B239">
        <v>-1.0919203550488562E-2</v>
      </c>
      <c r="C239">
        <v>-3.0385804667641663E-2</v>
      </c>
      <c r="D239">
        <v>-4.2975223406717125E-2</v>
      </c>
    </row>
    <row r="240" spans="1:4" x14ac:dyDescent="0.2">
      <c r="A240" s="1">
        <v>45118</v>
      </c>
      <c r="B240">
        <v>-2.8077818695848088E-3</v>
      </c>
      <c r="C240">
        <v>-3.0382586983545522E-2</v>
      </c>
      <c r="D240">
        <v>-4.2970672574695522E-2</v>
      </c>
    </row>
    <row r="241" spans="1:4" x14ac:dyDescent="0.2">
      <c r="A241" s="1">
        <v>45119</v>
      </c>
      <c r="B241">
        <v>8.9498172268235796E-3</v>
      </c>
      <c r="C241">
        <v>-3.0391384580080241E-2</v>
      </c>
      <c r="D241">
        <v>-4.2983115183362855E-2</v>
      </c>
    </row>
    <row r="242" spans="1:4" x14ac:dyDescent="0.2">
      <c r="A242" s="1">
        <v>45120</v>
      </c>
      <c r="B242">
        <v>4.0490199164732767E-3</v>
      </c>
      <c r="C242">
        <v>-3.0326875223827026E-2</v>
      </c>
      <c r="D242">
        <v>-4.2891878369754374E-2</v>
      </c>
    </row>
    <row r="243" spans="1:4" x14ac:dyDescent="0.2">
      <c r="A243" s="1">
        <v>45121</v>
      </c>
      <c r="B243">
        <v>7.8127702900715554E-4</v>
      </c>
      <c r="C243">
        <v>-3.0307510455041937E-2</v>
      </c>
      <c r="D243">
        <v>-4.2864490407715478E-2</v>
      </c>
    </row>
    <row r="244" spans="1:4" x14ac:dyDescent="0.2">
      <c r="A244" s="1">
        <v>45124</v>
      </c>
      <c r="B244">
        <v>1.7150350573384068E-2</v>
      </c>
      <c r="C244">
        <v>-3.0267821765891892E-2</v>
      </c>
      <c r="D244">
        <v>-4.2808357937254383E-2</v>
      </c>
    </row>
    <row r="245" spans="1:4" x14ac:dyDescent="0.2">
      <c r="A245" s="1">
        <v>45125</v>
      </c>
      <c r="B245">
        <v>-1.3378277974552065E-3</v>
      </c>
      <c r="C245">
        <v>-3.015388068701946E-2</v>
      </c>
      <c r="D245">
        <v>-4.2647208895018898E-2</v>
      </c>
    </row>
    <row r="246" spans="1:4" x14ac:dyDescent="0.2">
      <c r="A246" s="1">
        <v>45126</v>
      </c>
      <c r="B246">
        <v>7.055640409117543E-3</v>
      </c>
      <c r="C246">
        <v>-3.0132698767941456E-2</v>
      </c>
      <c r="D246">
        <v>-4.2617250902643275E-2</v>
      </c>
    </row>
    <row r="247" spans="1:4" x14ac:dyDescent="0.2">
      <c r="A247" s="1">
        <v>45127</v>
      </c>
      <c r="B247">
        <v>-1.015623944372428E-2</v>
      </c>
      <c r="C247">
        <v>-3.0119379215408464E-2</v>
      </c>
      <c r="D247">
        <v>-4.2598412805313166E-2</v>
      </c>
    </row>
    <row r="248" spans="1:4" x14ac:dyDescent="0.2">
      <c r="A248" s="1">
        <v>45128</v>
      </c>
      <c r="B248">
        <v>-6.1774064097061473E-3</v>
      </c>
      <c r="C248">
        <v>-3.0113647523556081E-2</v>
      </c>
      <c r="D248">
        <v>-4.259030636414602E-2</v>
      </c>
    </row>
    <row r="249" spans="1:4" x14ac:dyDescent="0.2">
      <c r="A249" s="1">
        <v>45131</v>
      </c>
      <c r="B249">
        <v>4.2136151375820339E-3</v>
      </c>
      <c r="C249">
        <v>-3.0103044810537327E-2</v>
      </c>
      <c r="D249">
        <v>-4.2575310744787501E-2</v>
      </c>
    </row>
    <row r="250" spans="1:4" x14ac:dyDescent="0.2">
      <c r="A250" s="1">
        <v>45132</v>
      </c>
      <c r="B250">
        <v>4.5099215886223957E-3</v>
      </c>
      <c r="C250">
        <v>-3.0087831930002418E-2</v>
      </c>
      <c r="D250">
        <v>-4.2553794877533087E-2</v>
      </c>
    </row>
    <row r="251" spans="1:4" x14ac:dyDescent="0.2">
      <c r="A251" s="1">
        <v>45133</v>
      </c>
      <c r="B251">
        <v>4.5261347559334133E-3</v>
      </c>
      <c r="C251">
        <v>-2.9896222154799954E-2</v>
      </c>
      <c r="D251">
        <v>-4.2282797515893172E-2</v>
      </c>
    </row>
    <row r="252" spans="1:4" x14ac:dyDescent="0.2">
      <c r="A252" s="1">
        <v>45134</v>
      </c>
      <c r="B252">
        <v>-6.6107564555313953E-3</v>
      </c>
      <c r="C252">
        <v>-2.990506317645085E-2</v>
      </c>
      <c r="D252">
        <v>-4.2295301541531022E-2</v>
      </c>
    </row>
    <row r="253" spans="1:4" x14ac:dyDescent="0.2">
      <c r="A253" s="1">
        <v>45135</v>
      </c>
      <c r="B253">
        <v>1.3426445887602242E-2</v>
      </c>
      <c r="C253">
        <v>-2.9753749869747669E-2</v>
      </c>
      <c r="D253">
        <v>-4.208129624428434E-2</v>
      </c>
    </row>
    <row r="254" spans="1:4" x14ac:dyDescent="0.2">
      <c r="A254" s="1">
        <v>45138</v>
      </c>
      <c r="B254">
        <v>3.1610453630423439E-3</v>
      </c>
      <c r="C254">
        <v>-2.9745916758565069E-2</v>
      </c>
      <c r="D254">
        <v>-4.2070217725656181E-2</v>
      </c>
    </row>
    <row r="255" spans="1:4" x14ac:dyDescent="0.2">
      <c r="A255" s="1">
        <v>45139</v>
      </c>
      <c r="B255">
        <v>-4.3205317991003855E-3</v>
      </c>
      <c r="C255">
        <v>-2.9731898594788229E-2</v>
      </c>
      <c r="D255">
        <v>-4.2050391569112E-2</v>
      </c>
    </row>
    <row r="256" spans="1:4" x14ac:dyDescent="0.2">
      <c r="A256" s="1">
        <v>45140</v>
      </c>
      <c r="B256">
        <v>-1.557564697905937E-2</v>
      </c>
      <c r="C256">
        <v>-2.9531960452607611E-2</v>
      </c>
      <c r="D256">
        <v>-4.1767615239121106E-2</v>
      </c>
    </row>
    <row r="257" spans="1:4" x14ac:dyDescent="0.2">
      <c r="A257" s="1">
        <v>45141</v>
      </c>
      <c r="B257">
        <v>-7.3549737170241387E-3</v>
      </c>
      <c r="C257">
        <v>-2.9542426461242898E-2</v>
      </c>
      <c r="D257">
        <v>-4.1782417514861295E-2</v>
      </c>
    </row>
    <row r="258" spans="1:4" x14ac:dyDescent="0.2">
      <c r="A258" s="1">
        <v>45142</v>
      </c>
      <c r="B258">
        <v>-4.9198037481527727E-2</v>
      </c>
      <c r="C258">
        <v>-2.9992503174866139E-2</v>
      </c>
      <c r="D258">
        <v>-4.2418969599944553E-2</v>
      </c>
    </row>
    <row r="259" spans="1:4" x14ac:dyDescent="0.2">
      <c r="A259" s="1">
        <v>45145</v>
      </c>
      <c r="B259">
        <v>-1.7407270878278685E-2</v>
      </c>
      <c r="C259">
        <v>-3.0047772244034304E-2</v>
      </c>
      <c r="D259">
        <v>-4.2497137699192306E-2</v>
      </c>
    </row>
    <row r="260" spans="1:4" x14ac:dyDescent="0.2">
      <c r="A260" s="1">
        <v>45146</v>
      </c>
      <c r="B260">
        <v>5.293513557150342E-3</v>
      </c>
      <c r="C260">
        <v>-3.005218331774678E-2</v>
      </c>
      <c r="D260">
        <v>-4.2503376364922268E-2</v>
      </c>
    </row>
    <row r="261" spans="1:4" x14ac:dyDescent="0.2">
      <c r="A261" s="1">
        <v>45147</v>
      </c>
      <c r="B261">
        <v>-8.9935433153156066E-3</v>
      </c>
      <c r="C261">
        <v>-2.9949510793201774E-2</v>
      </c>
      <c r="D261">
        <v>-4.2358164654114683E-2</v>
      </c>
    </row>
    <row r="262" spans="1:4" x14ac:dyDescent="0.2">
      <c r="A262" s="1">
        <v>45148</v>
      </c>
      <c r="B262">
        <v>-1.2344943128423441E-3</v>
      </c>
      <c r="C262">
        <v>-2.9945949781789397E-2</v>
      </c>
      <c r="D262">
        <v>-4.2353128247717857E-2</v>
      </c>
    </row>
    <row r="263" spans="1:4" x14ac:dyDescent="0.2">
      <c r="A263" s="1">
        <v>45149</v>
      </c>
      <c r="B263">
        <v>3.3579679487313711E-4</v>
      </c>
      <c r="C263">
        <v>-2.9865817646797618E-2</v>
      </c>
      <c r="D263">
        <v>-4.2239795840003279E-2</v>
      </c>
    </row>
    <row r="264" spans="1:4" x14ac:dyDescent="0.2">
      <c r="A264" s="1">
        <v>45152</v>
      </c>
      <c r="B264">
        <v>9.3511823745013184E-3</v>
      </c>
      <c r="C264">
        <v>-2.9874309083910904E-2</v>
      </c>
      <c r="D264">
        <v>-4.2251805441558314E-2</v>
      </c>
    </row>
    <row r="265" spans="1:4" x14ac:dyDescent="0.2">
      <c r="A265" s="1">
        <v>45153</v>
      </c>
      <c r="B265">
        <v>-1.1265025852673267E-2</v>
      </c>
      <c r="C265">
        <v>-2.9897771198467385E-2</v>
      </c>
      <c r="D265">
        <v>-4.2284988357913084E-2</v>
      </c>
    </row>
    <row r="266" spans="1:4" x14ac:dyDescent="0.2">
      <c r="A266" s="1">
        <v>45154</v>
      </c>
      <c r="B266">
        <v>-4.9725754039263792E-3</v>
      </c>
      <c r="C266">
        <v>-2.9888838236453424E-2</v>
      </c>
      <c r="D266">
        <v>-4.2272354299265215E-2</v>
      </c>
    </row>
    <row r="267" spans="1:4" x14ac:dyDescent="0.2">
      <c r="A267" s="1">
        <v>45155</v>
      </c>
      <c r="B267">
        <v>-1.4660734148289901E-2</v>
      </c>
      <c r="C267">
        <v>-2.9927122791925467E-2</v>
      </c>
      <c r="D267">
        <v>-4.2326500876669823E-2</v>
      </c>
    </row>
    <row r="268" spans="1:4" x14ac:dyDescent="0.2">
      <c r="A268" s="1">
        <v>45156</v>
      </c>
      <c r="B268">
        <v>2.8102464685086483E-3</v>
      </c>
      <c r="C268">
        <v>-2.988613068774721E-2</v>
      </c>
      <c r="D268">
        <v>-4.2268524961460704E-2</v>
      </c>
    </row>
    <row r="269" spans="1:4" x14ac:dyDescent="0.2">
      <c r="A269" s="1">
        <v>45159</v>
      </c>
      <c r="B269">
        <v>7.699210068259155E-3</v>
      </c>
      <c r="C269">
        <v>-2.9796262815741097E-2</v>
      </c>
      <c r="D269">
        <v>-4.2141423115095528E-2</v>
      </c>
    </row>
    <row r="270" spans="1:4" x14ac:dyDescent="0.2">
      <c r="A270" s="1">
        <v>45160</v>
      </c>
      <c r="B270">
        <v>7.8858795964223179E-3</v>
      </c>
      <c r="C270">
        <v>-2.9805999093447347E-2</v>
      </c>
      <c r="D270">
        <v>-4.2155193318457018E-2</v>
      </c>
    </row>
    <row r="271" spans="1:4" x14ac:dyDescent="0.2">
      <c r="A271" s="1">
        <v>45161</v>
      </c>
      <c r="B271">
        <v>2.1694931601427582E-2</v>
      </c>
      <c r="C271">
        <v>-2.9888944757280413E-2</v>
      </c>
      <c r="D271">
        <v>-4.2272504953703605E-2</v>
      </c>
    </row>
    <row r="272" spans="1:4" x14ac:dyDescent="0.2">
      <c r="A272" s="1">
        <v>45162</v>
      </c>
      <c r="B272">
        <v>-2.650158776180607E-2</v>
      </c>
      <c r="C272">
        <v>-2.9980335402551461E-2</v>
      </c>
      <c r="D272">
        <v>-4.2401760487357117E-2</v>
      </c>
    </row>
    <row r="273" spans="1:4" x14ac:dyDescent="0.2">
      <c r="A273" s="1">
        <v>45163</v>
      </c>
      <c r="B273">
        <v>1.2562864724237054E-2</v>
      </c>
      <c r="C273">
        <v>-2.9735247527704678E-2</v>
      </c>
      <c r="D273">
        <v>-4.2055128028844854E-2</v>
      </c>
    </row>
    <row r="274" spans="1:4" x14ac:dyDescent="0.2">
      <c r="A274" s="1">
        <v>45166</v>
      </c>
      <c r="B274">
        <v>8.7976114736062466E-3</v>
      </c>
      <c r="C274">
        <v>-2.9711199147967503E-2</v>
      </c>
      <c r="D274">
        <v>-4.2021115946457077E-2</v>
      </c>
    </row>
    <row r="275" spans="1:4" x14ac:dyDescent="0.2">
      <c r="A275" s="1">
        <v>45167</v>
      </c>
      <c r="B275">
        <v>2.1584330958285044E-2</v>
      </c>
      <c r="C275">
        <v>-2.9745577373252785E-2</v>
      </c>
      <c r="D275">
        <v>-4.2069737726532393E-2</v>
      </c>
    </row>
    <row r="276" spans="1:4" x14ac:dyDescent="0.2">
      <c r="A276" s="1">
        <v>45168</v>
      </c>
      <c r="B276">
        <v>1.8979351238474357E-2</v>
      </c>
      <c r="C276">
        <v>-2.9783170132109692E-2</v>
      </c>
      <c r="D276">
        <v>-4.2122905882782363E-2</v>
      </c>
    </row>
    <row r="277" spans="1:4" x14ac:dyDescent="0.2">
      <c r="A277" s="1">
        <v>45169</v>
      </c>
      <c r="B277">
        <v>1.18544077249394E-3</v>
      </c>
      <c r="C277">
        <v>-2.9780323481316609E-2</v>
      </c>
      <c r="D277">
        <v>-4.2118879810241851E-2</v>
      </c>
    </row>
    <row r="278" spans="1:4" x14ac:dyDescent="0.2">
      <c r="A278" s="1">
        <v>45170</v>
      </c>
      <c r="B278">
        <v>8.4245231618532406E-3</v>
      </c>
      <c r="C278">
        <v>-2.9752866325244355E-2</v>
      </c>
      <c r="D278">
        <v>-4.2080046630432244E-2</v>
      </c>
    </row>
    <row r="279" spans="1:4" x14ac:dyDescent="0.2">
      <c r="A279" s="1">
        <v>45174</v>
      </c>
      <c r="B279">
        <v>1.2701125063096746E-3</v>
      </c>
      <c r="C279">
        <v>-2.9737814456801629E-2</v>
      </c>
      <c r="D279">
        <v>-4.2058758485652471E-2</v>
      </c>
    </row>
    <row r="280" spans="1:4" x14ac:dyDescent="0.2">
      <c r="A280" s="1">
        <v>45175</v>
      </c>
      <c r="B280">
        <v>-3.6464041822323476E-2</v>
      </c>
      <c r="C280">
        <v>-2.9976784470739128E-2</v>
      </c>
      <c r="D280">
        <v>-4.2396738336730987E-2</v>
      </c>
    </row>
    <row r="281" spans="1:4" x14ac:dyDescent="0.2">
      <c r="A281" s="1">
        <v>45176</v>
      </c>
      <c r="B281">
        <v>-2.9679999917009679E-2</v>
      </c>
      <c r="C281">
        <v>-3.0123626366229263E-2</v>
      </c>
      <c r="D281">
        <v>-4.2604419631769211E-2</v>
      </c>
    </row>
    <row r="282" spans="1:4" x14ac:dyDescent="0.2">
      <c r="A282" s="1">
        <v>45177</v>
      </c>
      <c r="B282">
        <v>3.4867320653055641E-3</v>
      </c>
      <c r="C282">
        <v>-3.0065964792532537E-2</v>
      </c>
      <c r="D282">
        <v>-4.2522867767709527E-2</v>
      </c>
    </row>
    <row r="283" spans="1:4" x14ac:dyDescent="0.2">
      <c r="A283" s="1">
        <v>45180</v>
      </c>
      <c r="B283">
        <v>6.5988162415110563E-3</v>
      </c>
      <c r="C283">
        <v>-2.9819960936383144E-2</v>
      </c>
      <c r="D283">
        <v>-4.2174939819360921E-2</v>
      </c>
    </row>
    <row r="284" spans="1:4" x14ac:dyDescent="0.2">
      <c r="A284" s="1">
        <v>45181</v>
      </c>
      <c r="B284">
        <v>-1.7198986848644491E-2</v>
      </c>
      <c r="C284">
        <v>-2.919329036505685E-2</v>
      </c>
      <c r="D284">
        <v>-4.128862767131232E-2</v>
      </c>
    </row>
    <row r="285" spans="1:4" x14ac:dyDescent="0.2">
      <c r="A285" s="1">
        <v>45182</v>
      </c>
      <c r="B285">
        <v>-1.1926757474209342E-2</v>
      </c>
      <c r="C285">
        <v>-2.9207133235041326E-2</v>
      </c>
      <c r="D285">
        <v>-4.1308205906500757E-2</v>
      </c>
    </row>
    <row r="286" spans="1:4" x14ac:dyDescent="0.2">
      <c r="A286" s="1">
        <v>45183</v>
      </c>
      <c r="B286">
        <v>8.7367604305944868E-3</v>
      </c>
      <c r="C286">
        <v>-2.9147837615850904E-2</v>
      </c>
      <c r="D286">
        <v>-4.1224342980716151E-2</v>
      </c>
    </row>
    <row r="287" spans="1:4" x14ac:dyDescent="0.2">
      <c r="A287" s="1">
        <v>45184</v>
      </c>
      <c r="B287">
        <v>-4.1651583496522789E-3</v>
      </c>
      <c r="C287">
        <v>-2.912684007834259E-2</v>
      </c>
      <c r="D287">
        <v>-4.1194645762713179E-2</v>
      </c>
    </row>
    <row r="288" spans="1:4" x14ac:dyDescent="0.2">
      <c r="A288" s="1">
        <v>45187</v>
      </c>
      <c r="B288">
        <v>1.677358825407561E-2</v>
      </c>
      <c r="C288">
        <v>-2.9066540272762613E-2</v>
      </c>
      <c r="D288">
        <v>-4.110936259695451E-2</v>
      </c>
    </row>
    <row r="289" spans="1:4" x14ac:dyDescent="0.2">
      <c r="A289" s="1">
        <v>45188</v>
      </c>
      <c r="B289">
        <v>6.1603524913653269E-3</v>
      </c>
      <c r="C289">
        <v>-2.9030521516246115E-2</v>
      </c>
      <c r="D289">
        <v>-4.1058420582251932E-2</v>
      </c>
    </row>
    <row r="290" spans="1:4" x14ac:dyDescent="0.2">
      <c r="A290" s="1">
        <v>45189</v>
      </c>
      <c r="B290">
        <v>-2.0185988433164506E-2</v>
      </c>
      <c r="C290">
        <v>-2.9028338129460686E-2</v>
      </c>
      <c r="D290">
        <v>-4.10553325766548E-2</v>
      </c>
    </row>
    <row r="291" spans="1:4" x14ac:dyDescent="0.2">
      <c r="A291" s="1">
        <v>45190</v>
      </c>
      <c r="B291">
        <v>-8.9295097261570724E-3</v>
      </c>
      <c r="C291">
        <v>-2.9036141004070683E-2</v>
      </c>
      <c r="D291">
        <v>-4.1066368331121303E-2</v>
      </c>
    </row>
    <row r="292" spans="1:4" x14ac:dyDescent="0.2">
      <c r="A292" s="1">
        <v>45191</v>
      </c>
      <c r="B292">
        <v>4.932092323115124E-3</v>
      </c>
      <c r="C292">
        <v>-2.8992833513575393E-2</v>
      </c>
      <c r="D292">
        <v>-4.1005117720858492E-2</v>
      </c>
    </row>
    <row r="293" spans="1:4" x14ac:dyDescent="0.2">
      <c r="A293" s="1">
        <v>45194</v>
      </c>
      <c r="B293">
        <v>7.3413342793566799E-3</v>
      </c>
      <c r="C293">
        <v>-2.9000776742951932E-2</v>
      </c>
      <c r="D293">
        <v>-4.1016351981749771E-2</v>
      </c>
    </row>
    <row r="294" spans="1:4" x14ac:dyDescent="0.2">
      <c r="A294" s="1">
        <v>45195</v>
      </c>
      <c r="B294">
        <v>-2.3669227992752586E-2</v>
      </c>
      <c r="C294">
        <v>-2.9104140348402745E-2</v>
      </c>
      <c r="D294">
        <v>-4.1162541101470627E-2</v>
      </c>
    </row>
    <row r="295" spans="1:4" x14ac:dyDescent="0.2">
      <c r="A295" s="1">
        <v>45196</v>
      </c>
      <c r="B295">
        <v>-8.9355959414275446E-3</v>
      </c>
      <c r="C295">
        <v>-2.9088045125250171E-2</v>
      </c>
      <c r="D295">
        <v>-4.1139777320213934E-2</v>
      </c>
    </row>
    <row r="296" spans="1:4" x14ac:dyDescent="0.2">
      <c r="A296" s="1">
        <v>45197</v>
      </c>
      <c r="B296">
        <v>1.5126038350098204E-3</v>
      </c>
      <c r="C296">
        <v>-2.859834774404825E-2</v>
      </c>
      <c r="D296">
        <v>-4.0447188968876051E-2</v>
      </c>
    </row>
    <row r="297" spans="1:4" x14ac:dyDescent="0.2">
      <c r="A297" s="1">
        <v>45198</v>
      </c>
      <c r="B297">
        <v>3.059726183381344E-3</v>
      </c>
      <c r="C297">
        <v>-2.8412303463338381E-2</v>
      </c>
      <c r="D297">
        <v>-4.0184062992305716E-2</v>
      </c>
    </row>
    <row r="298" spans="1:4" x14ac:dyDescent="0.2">
      <c r="A298" s="1">
        <v>45201</v>
      </c>
      <c r="B298">
        <v>1.4711495837166204E-2</v>
      </c>
      <c r="C298">
        <v>-2.8282944744477699E-2</v>
      </c>
      <c r="D298">
        <v>-4.0001108487613443E-2</v>
      </c>
    </row>
    <row r="299" spans="1:4" x14ac:dyDescent="0.2">
      <c r="A299" s="1">
        <v>45202</v>
      </c>
      <c r="B299">
        <v>-7.7921940777465207E-3</v>
      </c>
      <c r="C299">
        <v>-2.8180991756349288E-2</v>
      </c>
      <c r="D299">
        <v>-3.9856914430891066E-2</v>
      </c>
    </row>
    <row r="300" spans="1:4" x14ac:dyDescent="0.2">
      <c r="A300" s="1">
        <v>45203</v>
      </c>
      <c r="B300">
        <v>7.2738224519354909E-3</v>
      </c>
      <c r="C300">
        <v>-2.8188987385083467E-2</v>
      </c>
      <c r="D300">
        <v>-3.9868222801193814E-2</v>
      </c>
    </row>
    <row r="301" spans="1:4" x14ac:dyDescent="0.2">
      <c r="A301" s="1">
        <v>45204</v>
      </c>
      <c r="B301">
        <v>7.1808070413599016E-3</v>
      </c>
      <c r="C301">
        <v>-2.8186555472562672E-2</v>
      </c>
      <c r="D301">
        <v>-3.9864783300906433E-2</v>
      </c>
    </row>
    <row r="302" spans="1:4" x14ac:dyDescent="0.2">
      <c r="A302" s="1">
        <v>45205</v>
      </c>
      <c r="B302">
        <v>1.4642054431070495E-2</v>
      </c>
      <c r="C302">
        <v>-2.7939572741721166E-2</v>
      </c>
      <c r="D302">
        <v>-3.9515470911400487E-2</v>
      </c>
    </row>
    <row r="303" spans="1:4" x14ac:dyDescent="0.2">
      <c r="A303" s="1">
        <v>45208</v>
      </c>
      <c r="B303">
        <v>8.4064874412924755E-3</v>
      </c>
      <c r="C303">
        <v>-2.7949928156930877E-2</v>
      </c>
      <c r="D303">
        <v>-3.9530116772748383E-2</v>
      </c>
    </row>
    <row r="304" spans="1:4" x14ac:dyDescent="0.2">
      <c r="A304" s="1">
        <v>45209</v>
      </c>
      <c r="B304">
        <v>-3.3461795070649004E-3</v>
      </c>
      <c r="C304">
        <v>-2.7928679517898854E-2</v>
      </c>
      <c r="D304">
        <v>-3.9500064417068555E-2</v>
      </c>
    </row>
    <row r="305" spans="1:4" x14ac:dyDescent="0.2">
      <c r="A305" s="1">
        <v>45210</v>
      </c>
      <c r="B305">
        <v>7.869185706438693E-3</v>
      </c>
      <c r="C305">
        <v>-2.7931524251527912E-2</v>
      </c>
      <c r="D305">
        <v>-3.9504087778127396E-2</v>
      </c>
    </row>
    <row r="306" spans="1:4" x14ac:dyDescent="0.2">
      <c r="A306" s="1">
        <v>45211</v>
      </c>
      <c r="B306">
        <v>5.0514512439797056E-3</v>
      </c>
      <c r="C306">
        <v>-2.7734274863162902E-2</v>
      </c>
      <c r="D306">
        <v>-3.9225114203968549E-2</v>
      </c>
    </row>
    <row r="307" spans="1:4" x14ac:dyDescent="0.2">
      <c r="A307" s="1">
        <v>45212</v>
      </c>
      <c r="B307">
        <v>-1.0354797439749886E-2</v>
      </c>
      <c r="C307">
        <v>-2.7535337751475569E-2</v>
      </c>
      <c r="D307">
        <v>-3.8943753650507396E-2</v>
      </c>
    </row>
    <row r="308" spans="1:4" x14ac:dyDescent="0.2">
      <c r="A308" s="1">
        <v>45215</v>
      </c>
      <c r="B308">
        <v>-7.0735567942641433E-4</v>
      </c>
      <c r="C308">
        <v>-2.7383915231333558E-2</v>
      </c>
      <c r="D308">
        <v>-3.8729593890610009E-2</v>
      </c>
    </row>
    <row r="309" spans="1:4" x14ac:dyDescent="0.2">
      <c r="A309" s="1">
        <v>45216</v>
      </c>
      <c r="B309">
        <v>-8.8301673106510707E-3</v>
      </c>
      <c r="C309">
        <v>-2.7388465650229146E-2</v>
      </c>
      <c r="D309">
        <v>-3.8736029634891624E-2</v>
      </c>
    </row>
    <row r="310" spans="1:4" x14ac:dyDescent="0.2">
      <c r="A310" s="1">
        <v>45217</v>
      </c>
      <c r="B310">
        <v>-7.4348080082821668E-3</v>
      </c>
      <c r="C310">
        <v>-2.7402053497715441E-2</v>
      </c>
      <c r="D310">
        <v>-3.875524718689418E-2</v>
      </c>
    </row>
    <row r="311" spans="1:4" x14ac:dyDescent="0.2">
      <c r="A311" s="1">
        <v>45218</v>
      </c>
      <c r="B311">
        <v>-2.1541925791569248E-3</v>
      </c>
      <c r="C311">
        <v>-2.7400480791959045E-2</v>
      </c>
      <c r="D311">
        <v>-3.8753022879130294E-2</v>
      </c>
    </row>
    <row r="312" spans="1:4" x14ac:dyDescent="0.2">
      <c r="A312" s="1">
        <v>45219</v>
      </c>
      <c r="B312">
        <v>-1.4818528227842846E-2</v>
      </c>
      <c r="C312">
        <v>-2.7314963033808495E-2</v>
      </c>
      <c r="D312">
        <v>-3.8632073481806112E-2</v>
      </c>
    </row>
    <row r="313" spans="1:4" x14ac:dyDescent="0.2">
      <c r="A313" s="1">
        <v>45222</v>
      </c>
      <c r="B313">
        <v>6.9616497825851227E-4</v>
      </c>
      <c r="C313">
        <v>-2.7275557117436983E-2</v>
      </c>
      <c r="D313">
        <v>-3.8576340942281968E-2</v>
      </c>
    </row>
    <row r="314" spans="1:4" x14ac:dyDescent="0.2">
      <c r="A314" s="1">
        <v>45223</v>
      </c>
      <c r="B314">
        <v>2.5465221045792631E-3</v>
      </c>
      <c r="C314">
        <v>-2.7207589630392711E-2</v>
      </c>
      <c r="D314">
        <v>-3.8480213228302709E-2</v>
      </c>
    </row>
    <row r="315" spans="1:4" x14ac:dyDescent="0.2">
      <c r="A315" s="1">
        <v>45224</v>
      </c>
      <c r="B315">
        <v>-1.3584077377546041E-2</v>
      </c>
      <c r="C315">
        <v>-2.7164667207195691E-2</v>
      </c>
      <c r="D315">
        <v>-3.8419507226068253E-2</v>
      </c>
    </row>
    <row r="316" spans="1:4" x14ac:dyDescent="0.2">
      <c r="A316" s="1">
        <v>45225</v>
      </c>
      <c r="B316">
        <v>-2.4911713099392666E-2</v>
      </c>
      <c r="C316">
        <v>-2.7095930796037278E-2</v>
      </c>
      <c r="D316">
        <v>-3.8322292008040659E-2</v>
      </c>
    </row>
    <row r="317" spans="1:4" x14ac:dyDescent="0.2">
      <c r="A317" s="1">
        <v>45226</v>
      </c>
      <c r="B317">
        <v>7.9280913044271831E-3</v>
      </c>
      <c r="C317">
        <v>-2.6036321785309929E-2</v>
      </c>
      <c r="D317">
        <v>-3.6823666763198239E-2</v>
      </c>
    </row>
    <row r="318" spans="1:4" x14ac:dyDescent="0.2">
      <c r="A318" s="1">
        <v>45229</v>
      </c>
      <c r="B318">
        <v>1.2242001118788509E-2</v>
      </c>
      <c r="C318">
        <v>-2.6012686409838073E-2</v>
      </c>
      <c r="D318">
        <v>-3.6790238800624445E-2</v>
      </c>
    </row>
    <row r="319" spans="1:4" x14ac:dyDescent="0.2">
      <c r="A319" s="1">
        <v>45230</v>
      </c>
      <c r="B319">
        <v>2.8002747378234089E-3</v>
      </c>
      <c r="C319">
        <v>-2.5944730517625456E-2</v>
      </c>
      <c r="D319">
        <v>-3.6694127485436864E-2</v>
      </c>
    </row>
    <row r="320" spans="1:4" x14ac:dyDescent="0.2">
      <c r="A320" s="1">
        <v>45231</v>
      </c>
      <c r="B320">
        <v>1.8571551471043647E-2</v>
      </c>
      <c r="C320">
        <v>-2.5697890298137627E-2</v>
      </c>
      <c r="D320">
        <v>-3.6345016652458026E-2</v>
      </c>
    </row>
    <row r="321" spans="1:4" x14ac:dyDescent="0.2">
      <c r="A321" s="1">
        <v>45232</v>
      </c>
      <c r="B321">
        <v>2.0480299560720939E-2</v>
      </c>
      <c r="C321">
        <v>-2.5363736870644298E-2</v>
      </c>
      <c r="D321">
        <v>-3.5872417083161821E-2</v>
      </c>
    </row>
    <row r="322" spans="1:4" x14ac:dyDescent="0.2">
      <c r="A322" s="1">
        <v>45233</v>
      </c>
      <c r="B322">
        <v>-5.1925615861171601E-3</v>
      </c>
      <c r="C322">
        <v>-2.5370094029188009E-2</v>
      </c>
      <c r="D322">
        <v>-3.588140813380656E-2</v>
      </c>
    </row>
    <row r="323" spans="1:4" x14ac:dyDescent="0.2">
      <c r="A323" s="1">
        <v>45236</v>
      </c>
      <c r="B323">
        <v>1.4498858140721927E-2</v>
      </c>
      <c r="C323">
        <v>-2.5407239013310226E-2</v>
      </c>
      <c r="D323">
        <v>-3.5933942993704185E-2</v>
      </c>
    </row>
    <row r="324" spans="1:4" x14ac:dyDescent="0.2">
      <c r="A324" s="1">
        <v>45237</v>
      </c>
      <c r="B324">
        <v>1.435841631904175E-2</v>
      </c>
      <c r="C324">
        <v>-2.5442989098426613E-2</v>
      </c>
      <c r="D324">
        <v>-3.5984505021318419E-2</v>
      </c>
    </row>
    <row r="325" spans="1:4" x14ac:dyDescent="0.2">
      <c r="A325" s="1">
        <v>45238</v>
      </c>
      <c r="B325">
        <v>5.8476778764705306E-3</v>
      </c>
      <c r="C325">
        <v>-2.5186159184865758E-2</v>
      </c>
      <c r="D325">
        <v>-3.5621265573374507E-2</v>
      </c>
    </row>
    <row r="326" spans="1:4" x14ac:dyDescent="0.2">
      <c r="A326" s="1">
        <v>45239</v>
      </c>
      <c r="B326">
        <v>-2.6144674624205516E-3</v>
      </c>
      <c r="C326">
        <v>-2.3610723594019299E-2</v>
      </c>
      <c r="D326">
        <v>-3.3393096952530982E-2</v>
      </c>
    </row>
    <row r="327" spans="1:4" x14ac:dyDescent="0.2">
      <c r="A327" s="1">
        <v>45240</v>
      </c>
      <c r="B327">
        <v>2.2940860221248104E-2</v>
      </c>
      <c r="C327">
        <v>-2.3646474299041664E-2</v>
      </c>
      <c r="D327">
        <v>-3.3443659856890066E-2</v>
      </c>
    </row>
    <row r="328" spans="1:4" x14ac:dyDescent="0.2">
      <c r="A328" s="1">
        <v>45243</v>
      </c>
      <c r="B328">
        <v>-8.6123423487704884E-3</v>
      </c>
      <c r="C328">
        <v>-2.364228378051229E-2</v>
      </c>
      <c r="D328">
        <v>-3.343773312656452E-2</v>
      </c>
    </row>
    <row r="329" spans="1:4" x14ac:dyDescent="0.2">
      <c r="A329" s="1">
        <v>45244</v>
      </c>
      <c r="B329">
        <v>1.4180014585314461E-2</v>
      </c>
      <c r="C329">
        <v>-2.3655505805735649E-2</v>
      </c>
      <c r="D329">
        <v>-3.3456433289159461E-2</v>
      </c>
    </row>
    <row r="330" spans="1:4" x14ac:dyDescent="0.2">
      <c r="A330" s="1">
        <v>45245</v>
      </c>
      <c r="B330">
        <v>3.0356224264781037E-3</v>
      </c>
      <c r="C330">
        <v>-2.3636591530940713E-2</v>
      </c>
      <c r="D330">
        <v>-3.3429682469367811E-2</v>
      </c>
    </row>
    <row r="331" spans="1:4" x14ac:dyDescent="0.2">
      <c r="A331" s="1">
        <v>45246</v>
      </c>
      <c r="B331">
        <v>9.0040331719536248E-3</v>
      </c>
      <c r="C331">
        <v>-2.3618720870844972E-2</v>
      </c>
      <c r="D331">
        <v>-3.3404407653760973E-2</v>
      </c>
    </row>
    <row r="332" spans="1:4" x14ac:dyDescent="0.2">
      <c r="A332" s="1">
        <v>45247</v>
      </c>
      <c r="B332">
        <v>-1.0652520130015489E-4</v>
      </c>
      <c r="C332">
        <v>-2.361709752917374E-2</v>
      </c>
      <c r="D332">
        <v>-3.3402111730656429E-2</v>
      </c>
    </row>
    <row r="333" spans="1:4" x14ac:dyDescent="0.2">
      <c r="A333" s="1">
        <v>45250</v>
      </c>
      <c r="B333">
        <v>9.2413328242945576E-3</v>
      </c>
      <c r="C333">
        <v>-2.3511681026995929E-2</v>
      </c>
      <c r="D333">
        <v>-3.3253019159918275E-2</v>
      </c>
    </row>
    <row r="334" spans="1:4" x14ac:dyDescent="0.2">
      <c r="A334" s="1">
        <v>45251</v>
      </c>
      <c r="B334">
        <v>-4.2468747803447379E-3</v>
      </c>
      <c r="C334">
        <v>-2.3475586605974527E-2</v>
      </c>
      <c r="D334">
        <v>-3.3201970131462477E-2</v>
      </c>
    </row>
    <row r="335" spans="1:4" x14ac:dyDescent="0.2">
      <c r="A335" s="1">
        <v>45252</v>
      </c>
      <c r="B335">
        <v>3.5130266645234205E-3</v>
      </c>
      <c r="C335">
        <v>-2.3471424013953957E-2</v>
      </c>
      <c r="D335">
        <v>-3.3196082898131266E-2</v>
      </c>
    </row>
    <row r="336" spans="1:4" x14ac:dyDescent="0.2">
      <c r="A336" s="1">
        <v>45254</v>
      </c>
      <c r="B336">
        <v>-7.0278008140171435E-3</v>
      </c>
      <c r="C336">
        <v>-2.3386094230469192E-2</v>
      </c>
      <c r="D336">
        <v>-3.3075399356964102E-2</v>
      </c>
    </row>
    <row r="337" spans="1:4" x14ac:dyDescent="0.2">
      <c r="A337" s="1">
        <v>45257</v>
      </c>
      <c r="B337">
        <v>-9.5249505012891505E-4</v>
      </c>
      <c r="C337">
        <v>-2.3208191252954823E-2</v>
      </c>
      <c r="D337">
        <v>-3.2823787780867128E-2</v>
      </c>
    </row>
    <row r="338" spans="1:4" x14ac:dyDescent="0.2">
      <c r="A338" s="1">
        <v>45258</v>
      </c>
      <c r="B338">
        <v>3.2103780097893332E-3</v>
      </c>
      <c r="C338">
        <v>-2.3089871243083912E-2</v>
      </c>
      <c r="D338">
        <v>-3.2656445532955485E-2</v>
      </c>
    </row>
    <row r="339" spans="1:4" x14ac:dyDescent="0.2">
      <c r="A339" s="1">
        <v>45259</v>
      </c>
      <c r="B339">
        <v>-5.4168373260108068E-3</v>
      </c>
      <c r="C339">
        <v>-2.258923659762184E-2</v>
      </c>
      <c r="D339">
        <v>-3.1948388400053984E-2</v>
      </c>
    </row>
    <row r="340" spans="1:4" x14ac:dyDescent="0.2">
      <c r="A340" s="1">
        <v>45260</v>
      </c>
      <c r="B340">
        <v>3.0525753484476345E-3</v>
      </c>
      <c r="C340">
        <v>-2.2590052753717147E-2</v>
      </c>
      <c r="D340">
        <v>-3.1949542705194636E-2</v>
      </c>
    </row>
    <row r="341" spans="1:4" x14ac:dyDescent="0.2">
      <c r="A341" s="1">
        <v>45261</v>
      </c>
      <c r="B341">
        <v>6.7644120418764086E-3</v>
      </c>
      <c r="C341">
        <v>-2.2593294467108588E-2</v>
      </c>
      <c r="D341">
        <v>-3.1954127522307155E-2</v>
      </c>
    </row>
    <row r="342" spans="1:4" x14ac:dyDescent="0.2">
      <c r="A342" s="1">
        <v>45264</v>
      </c>
      <c r="B342">
        <v>-9.4969088616595233E-3</v>
      </c>
      <c r="C342">
        <v>-2.2600261967672116E-2</v>
      </c>
      <c r="D342">
        <v>-3.196398179131793E-2</v>
      </c>
    </row>
    <row r="343" spans="1:4" x14ac:dyDescent="0.2">
      <c r="A343" s="1">
        <v>45265</v>
      </c>
      <c r="B343">
        <v>2.0833921940297994E-2</v>
      </c>
      <c r="C343">
        <v>-2.2520248531726669E-2</v>
      </c>
      <c r="D343">
        <v>-3.1850817261929759E-2</v>
      </c>
    </row>
    <row r="344" spans="1:4" x14ac:dyDescent="0.2">
      <c r="A344" s="1">
        <v>45266</v>
      </c>
      <c r="B344">
        <v>-5.6997225870368262E-3</v>
      </c>
      <c r="C344">
        <v>-2.2476520807023628E-2</v>
      </c>
      <c r="D344">
        <v>-3.1788972306407426E-2</v>
      </c>
    </row>
    <row r="345" spans="1:4" x14ac:dyDescent="0.2">
      <c r="A345" s="1">
        <v>45267</v>
      </c>
      <c r="B345">
        <v>1.0078127400822284E-2</v>
      </c>
      <c r="C345">
        <v>-2.2467086079282494E-2</v>
      </c>
      <c r="D345">
        <v>-3.1775628590916205E-2</v>
      </c>
    </row>
    <row r="346" spans="1:4" x14ac:dyDescent="0.2">
      <c r="A346" s="1">
        <v>45268</v>
      </c>
      <c r="B346">
        <v>7.3944099243002312E-3</v>
      </c>
      <c r="C346">
        <v>-2.2470744586785777E-2</v>
      </c>
      <c r="D346">
        <v>-3.1780802887894956E-2</v>
      </c>
    </row>
    <row r="347" spans="1:4" x14ac:dyDescent="0.2">
      <c r="A347" s="1">
        <v>45271</v>
      </c>
      <c r="B347">
        <v>-1.3011625742643281E-2</v>
      </c>
      <c r="C347">
        <v>-2.2465271086887388E-2</v>
      </c>
      <c r="D347">
        <v>-3.1773061612535534E-2</v>
      </c>
    </row>
    <row r="348" spans="1:4" x14ac:dyDescent="0.2">
      <c r="A348" s="1">
        <v>45272</v>
      </c>
      <c r="B348">
        <v>7.8926596802789736E-3</v>
      </c>
      <c r="C348">
        <v>-2.2468683481099844E-2</v>
      </c>
      <c r="D348">
        <v>-3.1777887826790384E-2</v>
      </c>
    </row>
    <row r="349" spans="1:4" x14ac:dyDescent="0.2">
      <c r="A349" s="1">
        <v>45273</v>
      </c>
      <c r="B349">
        <v>1.6550653886872747E-2</v>
      </c>
      <c r="C349">
        <v>-2.2456136509369232E-2</v>
      </c>
      <c r="D349">
        <v>-3.1760142405232568E-2</v>
      </c>
    </row>
    <row r="350" spans="1:4" x14ac:dyDescent="0.2">
      <c r="A350" s="1">
        <v>45274</v>
      </c>
      <c r="B350">
        <v>7.6020605754475827E-4</v>
      </c>
      <c r="C350">
        <v>-2.1857645849803441E-2</v>
      </c>
      <c r="D350">
        <v>-3.0913685644156128E-2</v>
      </c>
    </row>
    <row r="351" spans="1:4" x14ac:dyDescent="0.2">
      <c r="A351" s="1">
        <v>45275</v>
      </c>
      <c r="B351">
        <v>-2.7322909751873233E-3</v>
      </c>
      <c r="C351">
        <v>-2.1796836016890333E-2</v>
      </c>
      <c r="D351">
        <v>-3.0827681137007137E-2</v>
      </c>
    </row>
    <row r="352" spans="1:4" x14ac:dyDescent="0.2">
      <c r="A352" s="1">
        <v>45278</v>
      </c>
      <c r="B352">
        <v>-8.5359106525821488E-3</v>
      </c>
      <c r="C352">
        <v>-2.1744886331160618E-2</v>
      </c>
      <c r="D352">
        <v>-3.0754207705101587E-2</v>
      </c>
    </row>
    <row r="353" spans="1:4" x14ac:dyDescent="0.2">
      <c r="A353" s="1">
        <v>45279</v>
      </c>
      <c r="B353">
        <v>5.3447591565553461E-3</v>
      </c>
      <c r="C353">
        <v>-2.1747251058759708E-2</v>
      </c>
      <c r="D353">
        <v>-3.0757552184472084E-2</v>
      </c>
    </row>
    <row r="354" spans="1:4" x14ac:dyDescent="0.2">
      <c r="A354" s="1">
        <v>45280</v>
      </c>
      <c r="B354">
        <v>-1.0775282659932529E-2</v>
      </c>
      <c r="C354">
        <v>-2.1664118281067866E-2</v>
      </c>
      <c r="D354">
        <v>-3.063997591052426E-2</v>
      </c>
    </row>
    <row r="355" spans="1:4" x14ac:dyDescent="0.2">
      <c r="A355" s="1">
        <v>45281</v>
      </c>
      <c r="B355">
        <v>-7.626321033064262E-4</v>
      </c>
      <c r="C355">
        <v>-2.1500409690380091E-2</v>
      </c>
      <c r="D355">
        <v>-3.0408439726593673E-2</v>
      </c>
    </row>
    <row r="356" spans="1:4" x14ac:dyDescent="0.2">
      <c r="A356" s="1">
        <v>45282</v>
      </c>
      <c r="B356">
        <v>-5.5739444683247938E-3</v>
      </c>
      <c r="C356">
        <v>-2.1508485417685637E-2</v>
      </c>
      <c r="D356">
        <v>-3.0419861381834452E-2</v>
      </c>
    </row>
    <row r="357" spans="1:4" x14ac:dyDescent="0.2">
      <c r="A357" s="1">
        <v>45286</v>
      </c>
      <c r="B357">
        <v>-2.837919197406359E-3</v>
      </c>
      <c r="C357">
        <v>-2.1452224401665648E-2</v>
      </c>
      <c r="D357">
        <v>-3.0340290353224417E-2</v>
      </c>
    </row>
    <row r="358" spans="1:4" x14ac:dyDescent="0.2">
      <c r="A358" s="1">
        <v>45287</v>
      </c>
      <c r="B358">
        <v>5.232424406198423E-4</v>
      </c>
      <c r="C358">
        <v>-2.1177809351716322E-2</v>
      </c>
      <c r="D358">
        <v>-2.9952179911301634E-2</v>
      </c>
    </row>
    <row r="359" spans="1:4" x14ac:dyDescent="0.2">
      <c r="A359" s="1">
        <v>45288</v>
      </c>
      <c r="B359">
        <v>2.2102920782747604E-3</v>
      </c>
      <c r="C359">
        <v>-2.1000410884473002E-2</v>
      </c>
      <c r="D359">
        <v>-2.9701281873708792E-2</v>
      </c>
    </row>
    <row r="360" spans="1:4" x14ac:dyDescent="0.2">
      <c r="A360" s="1">
        <v>45289</v>
      </c>
      <c r="B360">
        <v>-5.4325773426718918E-3</v>
      </c>
      <c r="C360">
        <v>-2.1013049506909364E-2</v>
      </c>
      <c r="D360">
        <v>-2.9719156918608759E-2</v>
      </c>
    </row>
    <row r="361" spans="1:4" x14ac:dyDescent="0.2">
      <c r="A361" s="1">
        <v>45293</v>
      </c>
      <c r="B361">
        <v>-3.6447143886399039E-2</v>
      </c>
      <c r="C361">
        <v>-2.0979395715267725E-2</v>
      </c>
      <c r="D361">
        <v>-2.9671559718860326E-2</v>
      </c>
    </row>
    <row r="362" spans="1:4" x14ac:dyDescent="0.2">
      <c r="A362" s="1">
        <v>45294</v>
      </c>
      <c r="B362">
        <v>-7.5119109162278888E-3</v>
      </c>
      <c r="C362">
        <v>-2.0981220312795194E-2</v>
      </c>
      <c r="D362">
        <v>-2.9674140281963003E-2</v>
      </c>
    </row>
    <row r="363" spans="1:4" x14ac:dyDescent="0.2">
      <c r="A363" s="1">
        <v>45295</v>
      </c>
      <c r="B363">
        <v>-1.2787326381840002E-2</v>
      </c>
      <c r="C363">
        <v>-2.0995899539143111E-2</v>
      </c>
      <c r="D363">
        <v>-2.9694901391916793E-2</v>
      </c>
    </row>
    <row r="364" spans="1:4" x14ac:dyDescent="0.2">
      <c r="A364" s="1">
        <v>45296</v>
      </c>
      <c r="B364">
        <v>-4.0183048091433932E-3</v>
      </c>
      <c r="C364">
        <v>-2.0690183178747167E-2</v>
      </c>
      <c r="D364">
        <v>-2.9262520909293106E-2</v>
      </c>
    </row>
    <row r="365" spans="1:4" x14ac:dyDescent="0.2">
      <c r="A365" s="1">
        <v>45299</v>
      </c>
      <c r="B365">
        <v>2.3887473207901081E-2</v>
      </c>
      <c r="C365">
        <v>-2.0820649006907881E-2</v>
      </c>
      <c r="D365">
        <v>-2.9447041219795855E-2</v>
      </c>
    </row>
    <row r="366" spans="1:4" x14ac:dyDescent="0.2">
      <c r="A366" s="1">
        <v>45300</v>
      </c>
      <c r="B366">
        <v>-2.2568081752830454E-3</v>
      </c>
      <c r="C366">
        <v>-2.0821798983694208E-2</v>
      </c>
      <c r="D366">
        <v>-2.9448667653910254E-2</v>
      </c>
    </row>
    <row r="367" spans="1:4" x14ac:dyDescent="0.2">
      <c r="A367" s="1">
        <v>45301</v>
      </c>
      <c r="B367">
        <v>5.648779421202379E-3</v>
      </c>
      <c r="C367">
        <v>-2.0727062456640254E-2</v>
      </c>
      <c r="D367">
        <v>-2.9314679975800288E-2</v>
      </c>
    </row>
    <row r="368" spans="1:4" x14ac:dyDescent="0.2">
      <c r="A368" s="1">
        <v>45302</v>
      </c>
      <c r="B368">
        <v>-3.2340763654686981E-3</v>
      </c>
      <c r="C368">
        <v>-2.0731576695519782E-2</v>
      </c>
      <c r="D368">
        <v>-2.9321064549994752E-2</v>
      </c>
    </row>
    <row r="369" spans="1:4" x14ac:dyDescent="0.2">
      <c r="A369" s="1">
        <v>45303</v>
      </c>
      <c r="B369">
        <v>1.7786775574502372E-3</v>
      </c>
      <c r="C369">
        <v>-2.0711651950529427E-2</v>
      </c>
      <c r="D369">
        <v>-2.9292884602922484E-2</v>
      </c>
    </row>
    <row r="370" spans="1:4" x14ac:dyDescent="0.2">
      <c r="A370" s="1">
        <v>45307</v>
      </c>
      <c r="B370">
        <v>-1.2391135986019031E-2</v>
      </c>
      <c r="C370">
        <v>-2.0745977734305723E-2</v>
      </c>
      <c r="D370">
        <v>-2.9341432213970873E-2</v>
      </c>
    </row>
    <row r="371" spans="1:4" x14ac:dyDescent="0.2">
      <c r="A371" s="1">
        <v>45308</v>
      </c>
      <c r="B371">
        <v>-5.1911200224524388E-3</v>
      </c>
      <c r="C371">
        <v>-2.0745330607155742E-2</v>
      </c>
      <c r="D371">
        <v>-2.9340516969693253E-2</v>
      </c>
    </row>
    <row r="372" spans="1:4" x14ac:dyDescent="0.2">
      <c r="A372" s="1">
        <v>45309</v>
      </c>
      <c r="B372">
        <v>3.2052508333004645E-2</v>
      </c>
      <c r="C372">
        <v>-2.0991523810237851E-2</v>
      </c>
      <c r="D372">
        <v>-2.9688712715022186E-2</v>
      </c>
    </row>
    <row r="373" spans="1:4" x14ac:dyDescent="0.2">
      <c r="A373" s="1">
        <v>45310</v>
      </c>
      <c r="B373">
        <v>1.5419633090596916E-2</v>
      </c>
      <c r="C373">
        <v>-2.0961748292231526E-2</v>
      </c>
      <c r="D373">
        <v>-2.9646600631686931E-2</v>
      </c>
    </row>
    <row r="374" spans="1:4" x14ac:dyDescent="0.2">
      <c r="A374" s="1">
        <v>45313</v>
      </c>
      <c r="B374">
        <v>1.2089649409360607E-2</v>
      </c>
      <c r="C374">
        <v>-2.086740646982873E-2</v>
      </c>
      <c r="D374">
        <v>-2.9513171191897416E-2</v>
      </c>
    </row>
    <row r="375" spans="1:4" x14ac:dyDescent="0.2">
      <c r="A375" s="1">
        <v>45314</v>
      </c>
      <c r="B375">
        <v>6.6273907102706682E-3</v>
      </c>
      <c r="C375">
        <v>-2.0854990418094622E-2</v>
      </c>
      <c r="D375">
        <v>-2.949561093298906E-2</v>
      </c>
    </row>
    <row r="376" spans="1:4" x14ac:dyDescent="0.2">
      <c r="A376" s="1">
        <v>45315</v>
      </c>
      <c r="B376">
        <v>-3.4900067316255222E-3</v>
      </c>
      <c r="C376">
        <v>-2.085157262054383E-2</v>
      </c>
      <c r="D376">
        <v>-2.9490777076689685E-2</v>
      </c>
    </row>
    <row r="377" spans="1:4" x14ac:dyDescent="0.2">
      <c r="A377" s="1">
        <v>45316</v>
      </c>
      <c r="B377">
        <v>-1.7001457277531864E-3</v>
      </c>
      <c r="C377">
        <v>-2.0806653209614383E-2</v>
      </c>
      <c r="D377">
        <v>-2.9427246696595886E-2</v>
      </c>
    </row>
    <row r="378" spans="1:4" x14ac:dyDescent="0.2">
      <c r="A378" s="1">
        <v>45317</v>
      </c>
      <c r="B378">
        <v>-9.0483217335341655E-3</v>
      </c>
      <c r="C378">
        <v>-2.07935746590047E-2</v>
      </c>
      <c r="D378">
        <v>-2.9408749452885054E-2</v>
      </c>
    </row>
    <row r="379" spans="1:4" x14ac:dyDescent="0.2">
      <c r="A379" s="1">
        <v>45320</v>
      </c>
      <c r="B379">
        <v>-3.598110141738249E-3</v>
      </c>
      <c r="C379">
        <v>-2.0678934304177481E-2</v>
      </c>
      <c r="D379">
        <v>-2.9246611411322128E-2</v>
      </c>
    </row>
    <row r="380" spans="1:4" x14ac:dyDescent="0.2">
      <c r="A380" s="1">
        <v>45321</v>
      </c>
      <c r="B380">
        <v>-1.9438545561868813E-2</v>
      </c>
      <c r="C380">
        <v>-2.077381769492221E-2</v>
      </c>
      <c r="D380">
        <v>-2.9380806801552615E-2</v>
      </c>
    </row>
    <row r="381" spans="1:4" x14ac:dyDescent="0.2">
      <c r="A381" s="1">
        <v>45322</v>
      </c>
      <c r="B381">
        <v>-1.9544419319342261E-2</v>
      </c>
      <c r="C381">
        <v>-2.0872059033091559E-2</v>
      </c>
      <c r="D381">
        <v>-2.9519751400906884E-2</v>
      </c>
    </row>
    <row r="382" spans="1:4" x14ac:dyDescent="0.2">
      <c r="A382" s="1">
        <v>45323</v>
      </c>
      <c r="B382">
        <v>1.3264836905890311E-2</v>
      </c>
      <c r="C382">
        <v>-2.0582121339843908E-2</v>
      </c>
      <c r="D382">
        <v>-2.910968698834206E-2</v>
      </c>
    </row>
    <row r="383" spans="1:4" x14ac:dyDescent="0.2">
      <c r="A383" s="1">
        <v>45324</v>
      </c>
      <c r="B383">
        <v>-5.4163941343204607E-3</v>
      </c>
      <c r="C383">
        <v>-2.0448813153247529E-2</v>
      </c>
      <c r="D383">
        <v>-2.8921146676061812E-2</v>
      </c>
    </row>
    <row r="384" spans="1:4" x14ac:dyDescent="0.2">
      <c r="A384" s="1">
        <v>45327</v>
      </c>
      <c r="B384">
        <v>9.7973966848926893E-3</v>
      </c>
      <c r="C384">
        <v>-2.037520290737501E-2</v>
      </c>
      <c r="D384">
        <v>-2.8817038300588592E-2</v>
      </c>
    </row>
    <row r="385" spans="1:4" x14ac:dyDescent="0.2">
      <c r="A385" s="1">
        <v>45328</v>
      </c>
      <c r="B385">
        <v>8.5927622005932212E-3</v>
      </c>
      <c r="C385">
        <v>-2.0302628164007283E-2</v>
      </c>
      <c r="D385">
        <v>-2.8714394456068833E-2</v>
      </c>
    </row>
    <row r="386" spans="1:4" x14ac:dyDescent="0.2">
      <c r="A386" s="1">
        <v>45329</v>
      </c>
      <c r="B386">
        <v>5.8161407544795186E-4</v>
      </c>
      <c r="C386">
        <v>-2.0209006256982562E-2</v>
      </c>
      <c r="D386">
        <v>-2.8581983206336977E-2</v>
      </c>
    </row>
    <row r="387" spans="1:4" x14ac:dyDescent="0.2">
      <c r="A387" s="1">
        <v>45330</v>
      </c>
      <c r="B387">
        <v>-5.7777653186847234E-3</v>
      </c>
      <c r="C387">
        <v>-2.0204496406882263E-2</v>
      </c>
      <c r="D387">
        <v>-2.8575604839276736E-2</v>
      </c>
    </row>
    <row r="388" spans="1:4" x14ac:dyDescent="0.2">
      <c r="A388" s="1">
        <v>45331</v>
      </c>
      <c r="B388">
        <v>4.0799992345767321E-3</v>
      </c>
      <c r="C388">
        <v>-2.0206548741466372E-2</v>
      </c>
      <c r="D388">
        <v>-2.8578507495244616E-2</v>
      </c>
    </row>
    <row r="389" spans="1:4" x14ac:dyDescent="0.2">
      <c r="A389" s="1">
        <v>45334</v>
      </c>
      <c r="B389">
        <v>-9.0390515815156475E-3</v>
      </c>
      <c r="C389">
        <v>-2.0147925101037127E-2</v>
      </c>
      <c r="D389">
        <v>-2.8495594961845599E-2</v>
      </c>
    </row>
    <row r="390" spans="1:4" x14ac:dyDescent="0.2">
      <c r="A390" s="1">
        <v>45335</v>
      </c>
      <c r="B390">
        <v>-1.1344039749408922E-2</v>
      </c>
      <c r="C390">
        <v>-2.0180774176757992E-2</v>
      </c>
      <c r="D390">
        <v>-2.8542054036510542E-2</v>
      </c>
    </row>
    <row r="391" spans="1:4" x14ac:dyDescent="0.2">
      <c r="A391" s="1">
        <v>45336</v>
      </c>
      <c r="B391">
        <v>-4.8215521250357732E-3</v>
      </c>
      <c r="C391">
        <v>-2.0143022780686321E-2</v>
      </c>
      <c r="D391">
        <v>-2.848866151662038E-2</v>
      </c>
    </row>
    <row r="392" spans="1:4" x14ac:dyDescent="0.2">
      <c r="A392" s="1">
        <v>45337</v>
      </c>
      <c r="B392">
        <v>-1.568455722017445E-3</v>
      </c>
      <c r="C392">
        <v>-2.0110506912613853E-2</v>
      </c>
      <c r="D392">
        <v>-2.8442673703891311E-2</v>
      </c>
    </row>
    <row r="393" spans="1:4" x14ac:dyDescent="0.2">
      <c r="A393" s="1">
        <v>45338</v>
      </c>
      <c r="B393">
        <v>-8.4659389861920752E-3</v>
      </c>
      <c r="C393">
        <v>-2.0114703345578234E-2</v>
      </c>
      <c r="D393">
        <v>-2.8448608799115156E-2</v>
      </c>
    </row>
    <row r="394" spans="1:4" x14ac:dyDescent="0.2">
      <c r="A394" s="1">
        <v>45342</v>
      </c>
      <c r="B394">
        <v>-4.1321570664242446E-3</v>
      </c>
      <c r="C394">
        <v>-1.9911105740938882E-2</v>
      </c>
      <c r="D394">
        <v>-2.8160656821533785E-2</v>
      </c>
    </row>
    <row r="395" spans="1:4" x14ac:dyDescent="0.2">
      <c r="A395" s="1">
        <v>45343</v>
      </c>
      <c r="B395">
        <v>4.1875062923794346E-3</v>
      </c>
      <c r="C395">
        <v>-1.9913013902976721E-2</v>
      </c>
      <c r="D395">
        <v>-2.8163355571518174E-2</v>
      </c>
    </row>
    <row r="396" spans="1:4" x14ac:dyDescent="0.2">
      <c r="A396" s="1">
        <v>45344</v>
      </c>
      <c r="B396">
        <v>1.1178404872453848E-2</v>
      </c>
      <c r="C396">
        <v>-1.9940504130438828E-2</v>
      </c>
      <c r="D396">
        <v>-2.8202235524825568E-2</v>
      </c>
    </row>
    <row r="397" spans="1:4" x14ac:dyDescent="0.2">
      <c r="A397" s="1">
        <v>45345</v>
      </c>
      <c r="B397">
        <v>-1.0088649295777418E-2</v>
      </c>
      <c r="C397">
        <v>-1.9874353052873866E-2</v>
      </c>
      <c r="D397">
        <v>-2.8108676793436208E-2</v>
      </c>
    </row>
    <row r="398" spans="1:4" x14ac:dyDescent="0.2">
      <c r="A398" s="1">
        <v>45348</v>
      </c>
      <c r="B398">
        <v>-7.4695130864550823E-3</v>
      </c>
      <c r="C398">
        <v>-1.9878530622056641E-2</v>
      </c>
      <c r="D398">
        <v>-2.8114585209253744E-2</v>
      </c>
    </row>
    <row r="399" spans="1:4" x14ac:dyDescent="0.2">
      <c r="A399" s="1">
        <v>45349</v>
      </c>
      <c r="B399">
        <v>8.0774897588791333E-3</v>
      </c>
      <c r="C399">
        <v>-1.9887689159863123E-2</v>
      </c>
      <c r="D399">
        <v>-2.8127538304049734E-2</v>
      </c>
    </row>
    <row r="400" spans="1:4" x14ac:dyDescent="0.2">
      <c r="A400" s="1">
        <v>45350</v>
      </c>
      <c r="B400">
        <v>-6.6414116744294253E-3</v>
      </c>
      <c r="C400">
        <v>-1.9839677594880416E-2</v>
      </c>
      <c r="D400">
        <v>-2.8059634631469519E-2</v>
      </c>
    </row>
    <row r="401" spans="1:4" x14ac:dyDescent="0.2">
      <c r="A401" s="1">
        <v>45351</v>
      </c>
      <c r="B401">
        <v>-3.7168859992643766E-3</v>
      </c>
      <c r="C401">
        <v>-1.98426634918142E-2</v>
      </c>
      <c r="D401">
        <v>-2.8063857642484116E-2</v>
      </c>
    </row>
    <row r="402" spans="1:4" x14ac:dyDescent="0.2">
      <c r="A402" s="1">
        <v>45352</v>
      </c>
      <c r="B402">
        <v>-6.0365623815362372E-3</v>
      </c>
      <c r="C402">
        <v>-1.9541982928199812E-2</v>
      </c>
      <c r="D402">
        <v>-2.7638599383348835E-2</v>
      </c>
    </row>
    <row r="403" spans="1:4" x14ac:dyDescent="0.2">
      <c r="A403" s="1">
        <v>45355</v>
      </c>
      <c r="B403">
        <v>-2.5703851646588609E-2</v>
      </c>
      <c r="C403">
        <v>-1.9646945054845783E-2</v>
      </c>
      <c r="D403">
        <v>-2.7787049322101263E-2</v>
      </c>
    </row>
    <row r="404" spans="1:4" x14ac:dyDescent="0.2">
      <c r="A404" s="1">
        <v>45356</v>
      </c>
      <c r="B404">
        <v>-2.8858387154481715E-2</v>
      </c>
      <c r="C404">
        <v>-1.9821476139780653E-2</v>
      </c>
      <c r="D404">
        <v>-2.8033891966175794E-2</v>
      </c>
    </row>
    <row r="405" spans="1:4" x14ac:dyDescent="0.2">
      <c r="A405" s="1">
        <v>45357</v>
      </c>
      <c r="B405">
        <v>-5.8956506791723049E-3</v>
      </c>
      <c r="C405">
        <v>-1.9815494055971047E-2</v>
      </c>
      <c r="D405">
        <v>-2.802543139088521E-2</v>
      </c>
    </row>
    <row r="406" spans="1:4" x14ac:dyDescent="0.2">
      <c r="A406" s="1">
        <v>45358</v>
      </c>
      <c r="B406">
        <v>-7.1029725045249764E-4</v>
      </c>
      <c r="C406">
        <v>-1.9750017616393903E-2</v>
      </c>
      <c r="D406">
        <v>-2.793282681287643E-2</v>
      </c>
    </row>
    <row r="407" spans="1:4" x14ac:dyDescent="0.2">
      <c r="A407" s="1">
        <v>45359</v>
      </c>
      <c r="B407">
        <v>1.0188196851085277E-2</v>
      </c>
      <c r="C407">
        <v>-1.9717762816551819E-2</v>
      </c>
      <c r="D407">
        <v>-2.7887208233927666E-2</v>
      </c>
    </row>
    <row r="408" spans="1:4" x14ac:dyDescent="0.2">
      <c r="A408" s="1">
        <v>45362</v>
      </c>
      <c r="B408">
        <v>1.1763320753199687E-2</v>
      </c>
      <c r="C408">
        <v>-1.9708523349366923E-2</v>
      </c>
      <c r="D408">
        <v>-2.7874140679167377E-2</v>
      </c>
    </row>
    <row r="409" spans="1:4" x14ac:dyDescent="0.2">
      <c r="A409" s="1">
        <v>45363</v>
      </c>
      <c r="B409">
        <v>2.7591534716963455E-3</v>
      </c>
      <c r="C409">
        <v>-1.9659953067603625E-2</v>
      </c>
      <c r="D409">
        <v>-2.7805446802782137E-2</v>
      </c>
    </row>
    <row r="410" spans="1:4" x14ac:dyDescent="0.2">
      <c r="A410" s="1">
        <v>45364</v>
      </c>
      <c r="B410">
        <v>-1.2196452442711475E-2</v>
      </c>
      <c r="C410">
        <v>-1.9703198689788884E-2</v>
      </c>
      <c r="D410">
        <v>-2.7866609911513403E-2</v>
      </c>
    </row>
    <row r="411" spans="1:4" x14ac:dyDescent="0.2">
      <c r="A411" s="1">
        <v>45365</v>
      </c>
      <c r="B411">
        <v>1.0879075115092928E-2</v>
      </c>
      <c r="C411">
        <v>-1.9643142957807069E-2</v>
      </c>
      <c r="D411">
        <v>-2.7781671943702371E-2</v>
      </c>
    </row>
    <row r="412" spans="1:4" x14ac:dyDescent="0.2">
      <c r="A412" s="1">
        <v>45366</v>
      </c>
      <c r="B412">
        <v>-2.2014414604017134E-3</v>
      </c>
      <c r="C412">
        <v>-1.9635401686339298E-2</v>
      </c>
      <c r="D412">
        <v>-2.7770723315735522E-2</v>
      </c>
    </row>
    <row r="413" spans="1:4" x14ac:dyDescent="0.2">
      <c r="A413" s="1">
        <v>45369</v>
      </c>
      <c r="B413">
        <v>6.3575153600637421E-3</v>
      </c>
      <c r="C413">
        <v>-1.9583341315502299E-2</v>
      </c>
      <c r="D413">
        <v>-2.7697093339770489E-2</v>
      </c>
    </row>
    <row r="414" spans="1:4" x14ac:dyDescent="0.2">
      <c r="A414" s="1">
        <v>45370</v>
      </c>
      <c r="B414">
        <v>1.3489470254365216E-2</v>
      </c>
      <c r="C414">
        <v>-1.9594339872519434E-2</v>
      </c>
      <c r="D414">
        <v>-2.7712648808849976E-2</v>
      </c>
    </row>
    <row r="415" spans="1:4" x14ac:dyDescent="0.2">
      <c r="A415" s="1">
        <v>45371</v>
      </c>
      <c r="B415">
        <v>1.4598467193748934E-2</v>
      </c>
      <c r="C415">
        <v>-1.9624006700971298E-2</v>
      </c>
      <c r="D415">
        <v>-2.7754607170474191E-2</v>
      </c>
    </row>
    <row r="416" spans="1:4" x14ac:dyDescent="0.2">
      <c r="A416" s="1">
        <v>45372</v>
      </c>
      <c r="B416">
        <v>-4.171475586761339E-2</v>
      </c>
      <c r="C416">
        <v>-2.0097997266846468E-2</v>
      </c>
      <c r="D416">
        <v>-2.8424981073155595E-2</v>
      </c>
    </row>
    <row r="417" spans="1:4" x14ac:dyDescent="0.2">
      <c r="A417" s="1">
        <v>45373</v>
      </c>
      <c r="B417">
        <v>5.2914682016682807E-3</v>
      </c>
      <c r="C417">
        <v>-2.0087529621852118E-2</v>
      </c>
      <c r="D417">
        <v>-2.8410176483081549E-2</v>
      </c>
    </row>
    <row r="418" spans="1:4" x14ac:dyDescent="0.2">
      <c r="A418" s="1">
        <v>45376</v>
      </c>
      <c r="B418">
        <v>-8.3227207070124144E-3</v>
      </c>
      <c r="C418">
        <v>-2.0064165302577354E-2</v>
      </c>
      <c r="D418">
        <v>-2.8377131880459979E-2</v>
      </c>
    </row>
    <row r="419" spans="1:4" x14ac:dyDescent="0.2">
      <c r="A419" s="1">
        <v>45377</v>
      </c>
      <c r="B419">
        <v>-6.696519735388538E-3</v>
      </c>
      <c r="C419">
        <v>-2.0072470730068778E-2</v>
      </c>
      <c r="D419">
        <v>-2.8388878405057116E-2</v>
      </c>
    </row>
    <row r="420" spans="1:4" x14ac:dyDescent="0.2">
      <c r="A420" s="1">
        <v>45378</v>
      </c>
      <c r="B420">
        <v>2.0981806761287199E-2</v>
      </c>
      <c r="C420">
        <v>-2.0087461159018223E-2</v>
      </c>
      <c r="D420">
        <v>-2.8410079654789068E-2</v>
      </c>
    </row>
    <row r="421" spans="1:4" x14ac:dyDescent="0.2">
      <c r="A421" s="1">
        <v>45379</v>
      </c>
      <c r="B421">
        <v>-1.0612399447608153E-2</v>
      </c>
      <c r="C421">
        <v>-2.0094841487895358E-2</v>
      </c>
      <c r="D421">
        <v>-2.8420517794761964E-2</v>
      </c>
    </row>
    <row r="422" spans="1:4" x14ac:dyDescent="0.2">
      <c r="A422" s="1">
        <v>45383</v>
      </c>
      <c r="B422">
        <v>-8.4862962388131125E-3</v>
      </c>
      <c r="C422">
        <v>-2.0051543128319648E-2</v>
      </c>
      <c r="D422">
        <v>-2.8359280098532971E-2</v>
      </c>
    </row>
    <row r="423" spans="1:4" x14ac:dyDescent="0.2">
      <c r="A423" s="1">
        <v>45384</v>
      </c>
      <c r="B423">
        <v>-7.0277287818747416E-3</v>
      </c>
      <c r="C423">
        <v>-2.0049909853240785E-2</v>
      </c>
      <c r="D423">
        <v>-2.8356970126420449E-2</v>
      </c>
    </row>
    <row r="424" spans="1:4" x14ac:dyDescent="0.2">
      <c r="A424" s="1">
        <v>45385</v>
      </c>
      <c r="B424">
        <v>4.7877934391726776E-3</v>
      </c>
      <c r="C424">
        <v>-2.0052812543142798E-2</v>
      </c>
      <c r="D424">
        <v>-2.8361075456142134E-2</v>
      </c>
    </row>
    <row r="425" spans="1:4" x14ac:dyDescent="0.2">
      <c r="A425" s="1">
        <v>45386</v>
      </c>
      <c r="B425">
        <v>-4.9073341638513988E-3</v>
      </c>
      <c r="C425">
        <v>-2.0023867219451635E-2</v>
      </c>
      <c r="D425">
        <v>-2.8320137532469768E-2</v>
      </c>
    </row>
    <row r="426" spans="1:4" x14ac:dyDescent="0.2">
      <c r="A426" s="1">
        <v>45387</v>
      </c>
      <c r="B426">
        <v>4.4908781980501564E-3</v>
      </c>
      <c r="C426">
        <v>-2.0021231340734101E-2</v>
      </c>
      <c r="D426">
        <v>-2.8316409558897956E-2</v>
      </c>
    </row>
    <row r="427" spans="1:4" x14ac:dyDescent="0.2">
      <c r="A427" s="1">
        <v>45390</v>
      </c>
      <c r="B427">
        <v>-6.6810007868064007E-3</v>
      </c>
      <c r="C427">
        <v>-1.9962070164159795E-2</v>
      </c>
      <c r="D427">
        <v>-2.8232736777870953E-2</v>
      </c>
    </row>
    <row r="428" spans="1:4" x14ac:dyDescent="0.2">
      <c r="A428" s="1">
        <v>45391</v>
      </c>
      <c r="B428">
        <v>7.2164123228423537E-3</v>
      </c>
      <c r="C428">
        <v>-1.9958784486513285E-2</v>
      </c>
      <c r="D428">
        <v>-2.8228089781273502E-2</v>
      </c>
    </row>
    <row r="429" spans="1:4" x14ac:dyDescent="0.2">
      <c r="A429" s="1">
        <v>45392</v>
      </c>
      <c r="B429">
        <v>-1.1208050200513048E-2</v>
      </c>
      <c r="C429">
        <v>-1.9988588404947702E-2</v>
      </c>
      <c r="D429">
        <v>-2.8270242031876187E-2</v>
      </c>
    </row>
    <row r="430" spans="1:4" x14ac:dyDescent="0.2">
      <c r="A430" s="1">
        <v>45393</v>
      </c>
      <c r="B430">
        <v>4.2369639718944738E-2</v>
      </c>
      <c r="C430">
        <v>-2.0168950894612455E-2</v>
      </c>
      <c r="D430">
        <v>-2.8525332142943369E-2</v>
      </c>
    </row>
    <row r="431" spans="1:4" x14ac:dyDescent="0.2">
      <c r="A431" s="1">
        <v>45394</v>
      </c>
      <c r="B431">
        <v>8.5816742195162221E-3</v>
      </c>
      <c r="C431">
        <v>-2.0186052799437137E-2</v>
      </c>
      <c r="D431">
        <v>-2.8549519693299868E-2</v>
      </c>
    </row>
    <row r="432" spans="1:4" x14ac:dyDescent="0.2">
      <c r="A432" s="1">
        <v>45397</v>
      </c>
      <c r="B432">
        <v>-2.2099197477052367E-2</v>
      </c>
      <c r="C432">
        <v>-2.0319943377842382E-2</v>
      </c>
      <c r="D432">
        <v>-2.8738883693429425E-2</v>
      </c>
    </row>
    <row r="433" spans="1:4" x14ac:dyDescent="0.2">
      <c r="A433" s="1">
        <v>45398</v>
      </c>
      <c r="B433">
        <v>-1.9358393212334794E-2</v>
      </c>
      <c r="C433">
        <v>-2.0407058030123326E-2</v>
      </c>
      <c r="D433">
        <v>-2.886209160859643E-2</v>
      </c>
    </row>
    <row r="434" spans="1:4" x14ac:dyDescent="0.2">
      <c r="A434" s="1">
        <v>45399</v>
      </c>
      <c r="B434">
        <v>-8.1834300488346605E-3</v>
      </c>
      <c r="C434">
        <v>-2.0412566601526592E-2</v>
      </c>
      <c r="D434">
        <v>-2.8869882486254484E-2</v>
      </c>
    </row>
    <row r="435" spans="1:4" x14ac:dyDescent="0.2">
      <c r="A435" s="1">
        <v>45400</v>
      </c>
      <c r="B435">
        <v>-5.7286379960609455E-3</v>
      </c>
      <c r="C435">
        <v>-2.0412167813405442E-2</v>
      </c>
      <c r="D435">
        <v>-2.8869318472604499E-2</v>
      </c>
    </row>
    <row r="436" spans="1:4" x14ac:dyDescent="0.2">
      <c r="A436" s="1">
        <v>45401</v>
      </c>
      <c r="B436">
        <v>-1.2706265010141604E-2</v>
      </c>
      <c r="C436">
        <v>-2.0429446492659032E-2</v>
      </c>
      <c r="D436">
        <v>-2.8893756038409261E-2</v>
      </c>
    </row>
    <row r="437" spans="1:4" x14ac:dyDescent="0.2">
      <c r="A437" s="1">
        <v>45404</v>
      </c>
      <c r="B437">
        <v>5.5035710687648979E-3</v>
      </c>
      <c r="C437">
        <v>-2.0436503911400401E-2</v>
      </c>
      <c r="D437">
        <v>-2.8903737480414908E-2</v>
      </c>
    </row>
    <row r="438" spans="1:4" x14ac:dyDescent="0.2">
      <c r="A438" s="1">
        <v>45405</v>
      </c>
      <c r="B438">
        <v>6.3626294668889293E-3</v>
      </c>
      <c r="C438">
        <v>-2.0422746230314263E-2</v>
      </c>
      <c r="D438">
        <v>-2.8884279729511086E-2</v>
      </c>
    </row>
    <row r="439" spans="1:4" x14ac:dyDescent="0.2">
      <c r="A439" s="1">
        <v>45406</v>
      </c>
      <c r="B439">
        <v>1.2628964146632355E-2</v>
      </c>
      <c r="C439">
        <v>-2.0464303769450617E-2</v>
      </c>
      <c r="D439">
        <v>-2.894305535017188E-2</v>
      </c>
    </row>
    <row r="440" spans="1:4" x14ac:dyDescent="0.2">
      <c r="A440" s="1">
        <v>45407</v>
      </c>
      <c r="B440">
        <v>5.1391338486456708E-3</v>
      </c>
      <c r="C440">
        <v>-2.0263310275811061E-2</v>
      </c>
      <c r="D440">
        <v>-2.8658786416472883E-2</v>
      </c>
    </row>
    <row r="441" spans="1:4" x14ac:dyDescent="0.2">
      <c r="A441" s="1">
        <v>45408</v>
      </c>
      <c r="B441">
        <v>-3.4867289855196543E-3</v>
      </c>
      <c r="C441">
        <v>-2.0251656751828231E-2</v>
      </c>
      <c r="D441">
        <v>-2.86423046151148E-2</v>
      </c>
    </row>
    <row r="442" spans="1:4" x14ac:dyDescent="0.2">
      <c r="A442" s="1">
        <v>45411</v>
      </c>
      <c r="B442">
        <v>2.4504623165785992E-2</v>
      </c>
      <c r="C442">
        <v>-2.0411204957141264E-2</v>
      </c>
      <c r="D442">
        <v>-2.8867956686615473E-2</v>
      </c>
    </row>
    <row r="443" spans="1:4" x14ac:dyDescent="0.2">
      <c r="A443" s="1">
        <v>45412</v>
      </c>
      <c r="B443">
        <v>-1.8443386304198991E-2</v>
      </c>
      <c r="C443">
        <v>-2.049187133295112E-2</v>
      </c>
      <c r="D443">
        <v>-2.8982044681314212E-2</v>
      </c>
    </row>
    <row r="444" spans="1:4" x14ac:dyDescent="0.2">
      <c r="A444" s="1">
        <v>45413</v>
      </c>
      <c r="B444">
        <v>-6.0612368615869773E-3</v>
      </c>
      <c r="C444">
        <v>-2.0490423826353327E-2</v>
      </c>
      <c r="D444">
        <v>-2.8979997445109568E-2</v>
      </c>
    </row>
    <row r="445" spans="1:4" x14ac:dyDescent="0.2">
      <c r="A445" s="1">
        <v>45414</v>
      </c>
      <c r="B445">
        <v>2.1796448944673814E-2</v>
      </c>
      <c r="C445">
        <v>-2.0587712831288456E-2</v>
      </c>
      <c r="D445">
        <v>-2.9117595141396897E-2</v>
      </c>
    </row>
    <row r="446" spans="1:4" x14ac:dyDescent="0.2">
      <c r="A446" s="1">
        <v>45415</v>
      </c>
      <c r="B446">
        <v>5.8091733984994127E-2</v>
      </c>
      <c r="C446">
        <v>-2.0919330122958393E-2</v>
      </c>
      <c r="D446">
        <v>-2.9586607805399918E-2</v>
      </c>
    </row>
    <row r="447" spans="1:4" x14ac:dyDescent="0.2">
      <c r="A447" s="1">
        <v>45418</v>
      </c>
      <c r="B447">
        <v>-9.148840613858341E-3</v>
      </c>
      <c r="C447">
        <v>-2.0942029316209396E-2</v>
      </c>
      <c r="D447">
        <v>-2.9618711707593202E-2</v>
      </c>
    </row>
    <row r="448" spans="1:4" x14ac:dyDescent="0.2">
      <c r="A448" s="1">
        <v>45419</v>
      </c>
      <c r="B448">
        <v>3.7857732459444125E-3</v>
      </c>
      <c r="C448">
        <v>-2.0918078174433204E-2</v>
      </c>
      <c r="D448">
        <v>-2.9584837150709278E-2</v>
      </c>
    </row>
    <row r="449" spans="1:4" x14ac:dyDescent="0.2">
      <c r="A449" s="1">
        <v>45420</v>
      </c>
      <c r="B449">
        <v>1.8681986165737547E-3</v>
      </c>
      <c r="C449">
        <v>-2.0892363794932485E-2</v>
      </c>
      <c r="D449">
        <v>-2.9548468813062941E-2</v>
      </c>
    </row>
    <row r="450" spans="1:4" x14ac:dyDescent="0.2">
      <c r="A450" s="1">
        <v>45421</v>
      </c>
      <c r="B450">
        <v>9.9671702457125224E-3</v>
      </c>
      <c r="C450">
        <v>-2.0916724820397498E-2</v>
      </c>
      <c r="D450">
        <v>-2.9582923076269946E-2</v>
      </c>
    </row>
    <row r="451" spans="1:4" x14ac:dyDescent="0.2">
      <c r="A451" s="1">
        <v>45422</v>
      </c>
      <c r="B451">
        <v>-6.9236321016978488E-3</v>
      </c>
      <c r="C451">
        <v>-2.0921726664569578E-2</v>
      </c>
      <c r="D451">
        <v>-2.9589997279934846E-2</v>
      </c>
    </row>
    <row r="452" spans="1:4" x14ac:dyDescent="0.2">
      <c r="A452" s="1">
        <v>45425</v>
      </c>
      <c r="B452">
        <v>1.7506777339127325E-2</v>
      </c>
      <c r="C452">
        <v>-2.0995825229574546E-2</v>
      </c>
      <c r="D452">
        <v>-2.9694796294475894E-2</v>
      </c>
    </row>
    <row r="453" spans="1:4" x14ac:dyDescent="0.2">
      <c r="A453" s="1">
        <v>45426</v>
      </c>
      <c r="B453">
        <v>6.1481571279683386E-3</v>
      </c>
      <c r="C453">
        <v>-2.1004487854942078E-2</v>
      </c>
      <c r="D453">
        <v>-2.9707048010845772E-2</v>
      </c>
    </row>
    <row r="454" spans="1:4" x14ac:dyDescent="0.2">
      <c r="A454" s="1">
        <v>45427</v>
      </c>
      <c r="B454">
        <v>1.2141571069134906E-2</v>
      </c>
      <c r="C454">
        <v>-2.1037564305656658E-2</v>
      </c>
      <c r="D454">
        <v>-2.9753828666303415E-2</v>
      </c>
    </row>
    <row r="455" spans="1:4" x14ac:dyDescent="0.2">
      <c r="A455" s="1">
        <v>45428</v>
      </c>
      <c r="B455">
        <v>6.3719974119174651E-4</v>
      </c>
      <c r="C455">
        <v>-2.0992465013612911E-2</v>
      </c>
      <c r="D455">
        <v>-2.969004387691692E-2</v>
      </c>
    </row>
    <row r="456" spans="1:4" x14ac:dyDescent="0.2">
      <c r="A456" s="1">
        <v>45429</v>
      </c>
      <c r="B456">
        <v>1.5392903901731333E-4</v>
      </c>
      <c r="C456">
        <v>-2.0992454117096892E-2</v>
      </c>
      <c r="D456">
        <v>-2.9690028465766374E-2</v>
      </c>
    </row>
    <row r="457" spans="1:4" x14ac:dyDescent="0.2">
      <c r="A457" s="1">
        <v>45432</v>
      </c>
      <c r="B457">
        <v>6.1430877310777619E-3</v>
      </c>
      <c r="C457">
        <v>-2.0992185857853052E-2</v>
      </c>
      <c r="D457">
        <v>-2.9689649061598503E-2</v>
      </c>
    </row>
    <row r="458" spans="1:4" x14ac:dyDescent="0.2">
      <c r="A458" s="1">
        <v>45433</v>
      </c>
      <c r="B458">
        <v>6.8340748783476245E-3</v>
      </c>
      <c r="C458">
        <v>-2.0938972044308987E-2</v>
      </c>
      <c r="D458">
        <v>-2.9614387749601231E-2</v>
      </c>
    </row>
    <row r="459" spans="1:4" x14ac:dyDescent="0.2">
      <c r="A459" s="1">
        <v>45434</v>
      </c>
      <c r="B459">
        <v>-7.567566728050347E-3</v>
      </c>
      <c r="C459">
        <v>-2.0955343624408193E-2</v>
      </c>
      <c r="D459">
        <v>-2.9637542387761381E-2</v>
      </c>
    </row>
    <row r="460" spans="1:4" x14ac:dyDescent="0.2">
      <c r="A460" s="1">
        <v>45435</v>
      </c>
      <c r="B460">
        <v>-2.1287615639243078E-2</v>
      </c>
      <c r="C460">
        <v>-2.1066579651790762E-2</v>
      </c>
      <c r="D460">
        <v>-2.9794865624053108E-2</v>
      </c>
    </row>
    <row r="461" spans="1:4" x14ac:dyDescent="0.2">
      <c r="A461" s="1">
        <v>45436</v>
      </c>
      <c r="B461">
        <v>1.6456368826212514E-2</v>
      </c>
      <c r="C461">
        <v>-2.1085455430136023E-2</v>
      </c>
      <c r="D461">
        <v>-2.982156199758134E-2</v>
      </c>
    </row>
    <row r="462" spans="1:4" x14ac:dyDescent="0.2">
      <c r="A462" s="1">
        <v>45440</v>
      </c>
      <c r="B462">
        <v>5.3042800248127412E-5</v>
      </c>
      <c r="C462">
        <v>-2.1058138501208464E-2</v>
      </c>
      <c r="D462">
        <v>-2.9782927143698488E-2</v>
      </c>
    </row>
    <row r="463" spans="1:4" x14ac:dyDescent="0.2">
      <c r="A463" s="1">
        <v>45441</v>
      </c>
      <c r="B463">
        <v>1.5740898573225362E-3</v>
      </c>
      <c r="C463">
        <v>-2.1058467422112356E-2</v>
      </c>
      <c r="D463">
        <v>-2.9783392342809804E-2</v>
      </c>
    </row>
    <row r="464" spans="1:4" x14ac:dyDescent="0.2">
      <c r="A464" s="1">
        <v>45442</v>
      </c>
      <c r="B464">
        <v>5.2396792264588479E-3</v>
      </c>
      <c r="C464">
        <v>-2.1001817839316296E-2</v>
      </c>
      <c r="D464">
        <v>-2.970327175679318E-2</v>
      </c>
    </row>
    <row r="465" spans="1:4" x14ac:dyDescent="0.2">
      <c r="A465" s="1">
        <v>45443</v>
      </c>
      <c r="B465">
        <v>5.0079585477543938E-3</v>
      </c>
      <c r="C465">
        <v>-2.1002399868459962E-2</v>
      </c>
      <c r="D465">
        <v>-2.9704094931718179E-2</v>
      </c>
    </row>
    <row r="466" spans="1:4" x14ac:dyDescent="0.2">
      <c r="A466" s="1">
        <v>45446</v>
      </c>
      <c r="B466">
        <v>9.219636677315738E-3</v>
      </c>
      <c r="C466">
        <v>-2.1006844913220551E-2</v>
      </c>
      <c r="D466">
        <v>-2.9710381643349763E-2</v>
      </c>
    </row>
    <row r="467" spans="1:4" x14ac:dyDescent="0.2">
      <c r="A467" s="1">
        <v>45447</v>
      </c>
      <c r="B467">
        <v>1.6502338981146632E-3</v>
      </c>
      <c r="C467">
        <v>-2.1005794091041852E-2</v>
      </c>
      <c r="D467">
        <v>-2.9708895445489141E-2</v>
      </c>
    </row>
    <row r="468" spans="1:4" x14ac:dyDescent="0.2">
      <c r="A468" s="1">
        <v>45448</v>
      </c>
      <c r="B468">
        <v>7.7836276502854769E-3</v>
      </c>
      <c r="C468">
        <v>-2.1002772807228107E-2</v>
      </c>
      <c r="D468">
        <v>-2.9704622386134916E-2</v>
      </c>
    </row>
    <row r="469" spans="1:4" x14ac:dyDescent="0.2">
      <c r="A469" s="1">
        <v>45449</v>
      </c>
      <c r="B469">
        <v>-7.1149688046479934E-3</v>
      </c>
      <c r="C469">
        <v>-2.0959181764414352E-2</v>
      </c>
      <c r="D469">
        <v>-2.9642970742416959E-2</v>
      </c>
    </row>
    <row r="470" spans="1:4" x14ac:dyDescent="0.2">
      <c r="A470" s="1">
        <v>45450</v>
      </c>
      <c r="B470">
        <v>1.2308132904060234E-2</v>
      </c>
      <c r="C470">
        <v>-2.0995420208247507E-2</v>
      </c>
      <c r="D470">
        <v>-2.9694223465083869E-2</v>
      </c>
    </row>
    <row r="471" spans="1:4" x14ac:dyDescent="0.2">
      <c r="A471" s="1">
        <v>45453</v>
      </c>
      <c r="B471">
        <v>-1.9327967984267811E-2</v>
      </c>
      <c r="C471">
        <v>-2.1034968821038641E-2</v>
      </c>
      <c r="D471">
        <v>-2.9750157822877415E-2</v>
      </c>
    </row>
    <row r="472" spans="1:4" x14ac:dyDescent="0.2">
      <c r="A472" s="1">
        <v>45454</v>
      </c>
      <c r="B472">
        <v>7.0139515870202188E-2</v>
      </c>
      <c r="C472">
        <v>-2.2254726906615709E-2</v>
      </c>
      <c r="D472">
        <v>-3.1475284960472895E-2</v>
      </c>
    </row>
    <row r="473" spans="1:4" x14ac:dyDescent="0.2">
      <c r="A473" s="1">
        <v>45455</v>
      </c>
      <c r="B473">
        <v>2.8174660624698995E-2</v>
      </c>
      <c r="C473">
        <v>-2.2438050835359494E-2</v>
      </c>
      <c r="D473">
        <v>-3.1734563491343966E-2</v>
      </c>
    </row>
    <row r="474" spans="1:4" x14ac:dyDescent="0.2">
      <c r="A474" s="1">
        <v>45456</v>
      </c>
      <c r="B474">
        <v>5.4665950662201365E-3</v>
      </c>
      <c r="C474">
        <v>-2.2416871789960963E-2</v>
      </c>
      <c r="D474">
        <v>-3.1704609563268059E-2</v>
      </c>
    </row>
    <row r="475" spans="1:4" x14ac:dyDescent="0.2">
      <c r="A475" s="1">
        <v>45457</v>
      </c>
      <c r="B475">
        <v>-8.1992836325845211E-3</v>
      </c>
      <c r="C475">
        <v>-2.2425445470192804E-2</v>
      </c>
      <c r="D475">
        <v>-3.171673548283515E-2</v>
      </c>
    </row>
    <row r="476" spans="1:4" x14ac:dyDescent="0.2">
      <c r="A476" s="1">
        <v>45460</v>
      </c>
      <c r="B476">
        <v>1.9485573083345569E-2</v>
      </c>
      <c r="C476">
        <v>-2.2511544462036036E-2</v>
      </c>
      <c r="D476">
        <v>-3.1838506930062821E-2</v>
      </c>
    </row>
    <row r="477" spans="1:4" x14ac:dyDescent="0.2">
      <c r="A477" s="1">
        <v>45461</v>
      </c>
      <c r="B477">
        <v>-1.1051128129011325E-2</v>
      </c>
      <c r="C477">
        <v>-2.2534840531808664E-2</v>
      </c>
      <c r="D477">
        <v>-3.1871455006111084E-2</v>
      </c>
    </row>
    <row r="478" spans="1:4" x14ac:dyDescent="0.2">
      <c r="A478" s="1">
        <v>45463</v>
      </c>
      <c r="B478">
        <v>-2.1749547062237726E-2</v>
      </c>
      <c r="C478">
        <v>-2.2594241928587232E-2</v>
      </c>
      <c r="D478">
        <v>-3.1955467535157205E-2</v>
      </c>
    </row>
    <row r="479" spans="1:4" x14ac:dyDescent="0.2">
      <c r="A479" s="1">
        <v>45464</v>
      </c>
      <c r="B479">
        <v>-1.0498517798591686E-2</v>
      </c>
      <c r="C479">
        <v>-2.2621976668910516E-2</v>
      </c>
      <c r="D479">
        <v>-3.1994693307670311E-2</v>
      </c>
    </row>
    <row r="480" spans="1:4" x14ac:dyDescent="0.2">
      <c r="A480" s="1">
        <v>45467</v>
      </c>
      <c r="B480">
        <v>3.1325794213428819E-3</v>
      </c>
      <c r="C480">
        <v>-2.2608146342155164E-2</v>
      </c>
      <c r="D480">
        <v>-3.1975132812610191E-2</v>
      </c>
    </row>
    <row r="481" spans="1:4" x14ac:dyDescent="0.2">
      <c r="A481" s="1">
        <v>45468</v>
      </c>
      <c r="B481">
        <v>4.4540275755394227E-3</v>
      </c>
      <c r="C481">
        <v>-2.256156542457248E-2</v>
      </c>
      <c r="D481">
        <v>-3.1909252531949477E-2</v>
      </c>
    </row>
    <row r="482" spans="1:4" x14ac:dyDescent="0.2">
      <c r="A482" s="1">
        <v>45469</v>
      </c>
      <c r="B482">
        <v>1.9796484025176087E-2</v>
      </c>
      <c r="C482">
        <v>-2.2643151043887172E-2</v>
      </c>
      <c r="D482">
        <v>-3.2024640630279426E-2</v>
      </c>
    </row>
    <row r="483" spans="1:4" x14ac:dyDescent="0.2">
      <c r="A483" s="1">
        <v>45470</v>
      </c>
      <c r="B483">
        <v>3.9757733313472128E-3</v>
      </c>
      <c r="C483">
        <v>-2.2645645902477959E-2</v>
      </c>
      <c r="D483">
        <v>-3.2028169156394823E-2</v>
      </c>
    </row>
    <row r="484" spans="1:4" x14ac:dyDescent="0.2">
      <c r="A484" s="1">
        <v>45471</v>
      </c>
      <c r="B484">
        <v>-1.6391086804288989E-2</v>
      </c>
      <c r="C484">
        <v>-2.2592991418087762E-2</v>
      </c>
      <c r="D484">
        <v>-3.1953698914293782E-2</v>
      </c>
    </row>
    <row r="485" spans="1:4" x14ac:dyDescent="0.2">
      <c r="A485" s="1">
        <v>45474</v>
      </c>
      <c r="B485">
        <v>2.8689477538096881E-2</v>
      </c>
      <c r="C485">
        <v>-2.2768122300412169E-2</v>
      </c>
      <c r="D485">
        <v>-3.2201389863262521E-2</v>
      </c>
    </row>
    <row r="486" spans="1:4" x14ac:dyDescent="0.2">
      <c r="A486" s="1">
        <v>45475</v>
      </c>
      <c r="B486">
        <v>1.610963140357877E-2</v>
      </c>
      <c r="C486">
        <v>-2.2816070465857274E-2</v>
      </c>
      <c r="D486">
        <v>-3.2269203868666829E-2</v>
      </c>
    </row>
    <row r="487" spans="1:4" x14ac:dyDescent="0.2">
      <c r="A487" s="1">
        <v>45476</v>
      </c>
      <c r="B487">
        <v>5.8025653881280557E-3</v>
      </c>
      <c r="C487">
        <v>-2.2821667764965779E-2</v>
      </c>
      <c r="D487">
        <v>-3.2277120235611627E-2</v>
      </c>
    </row>
    <row r="488" spans="1:4" x14ac:dyDescent="0.2">
      <c r="A488" s="1">
        <v>45478</v>
      </c>
      <c r="B488">
        <v>2.1393355957940171E-2</v>
      </c>
      <c r="C488">
        <v>-2.2913650035321066E-2</v>
      </c>
      <c r="D488">
        <v>-3.2407212515912012E-2</v>
      </c>
    </row>
    <row r="489" spans="1:4" x14ac:dyDescent="0.2">
      <c r="A489" s="1">
        <v>45481</v>
      </c>
      <c r="B489">
        <v>6.5146810211936723E-3</v>
      </c>
      <c r="C489">
        <v>-2.2889297802629476E-2</v>
      </c>
      <c r="D489">
        <v>-3.2372770688492251E-2</v>
      </c>
    </row>
    <row r="490" spans="1:4" x14ac:dyDescent="0.2">
      <c r="A490" s="1">
        <v>45482</v>
      </c>
      <c r="B490">
        <v>3.770440539343924E-3</v>
      </c>
      <c r="C490">
        <v>-2.28883343152811E-2</v>
      </c>
      <c r="D490">
        <v>-3.2371408009948803E-2</v>
      </c>
    </row>
    <row r="491" spans="1:4" x14ac:dyDescent="0.2">
      <c r="A491" s="1">
        <v>45483</v>
      </c>
      <c r="B491">
        <v>1.8628886377964407E-2</v>
      </c>
      <c r="C491">
        <v>-2.2947838701398739E-2</v>
      </c>
      <c r="D491">
        <v>-3.2455566198782565E-2</v>
      </c>
    </row>
    <row r="492" spans="1:4" x14ac:dyDescent="0.2">
      <c r="A492" s="1">
        <v>45484</v>
      </c>
      <c r="B492">
        <v>-2.3496924704841625E-2</v>
      </c>
      <c r="C492">
        <v>-2.3084519356659158E-2</v>
      </c>
      <c r="D492">
        <v>-3.2648876257852621E-2</v>
      </c>
    </row>
    <row r="493" spans="1:4" x14ac:dyDescent="0.2">
      <c r="A493" s="1">
        <v>45485</v>
      </c>
      <c r="B493">
        <v>1.2961197209272312E-2</v>
      </c>
      <c r="C493">
        <v>-2.3119551666501908E-2</v>
      </c>
      <c r="D493">
        <v>-3.2698423122199734E-2</v>
      </c>
    </row>
    <row r="494" spans="1:4" x14ac:dyDescent="0.2">
      <c r="A494" s="1">
        <v>45488</v>
      </c>
      <c r="B494">
        <v>1.6607407273769602E-2</v>
      </c>
      <c r="C494">
        <v>-2.3115443137397149E-2</v>
      </c>
      <c r="D494">
        <v>-3.2692612351082062E-2</v>
      </c>
    </row>
    <row r="495" spans="1:4" x14ac:dyDescent="0.2">
      <c r="A495" s="1">
        <v>45489</v>
      </c>
      <c r="B495">
        <v>1.7954560039986395E-3</v>
      </c>
      <c r="C495">
        <v>-2.3114624885485938E-2</v>
      </c>
      <c r="D495">
        <v>-3.269145508178898E-2</v>
      </c>
    </row>
    <row r="496" spans="1:4" x14ac:dyDescent="0.2">
      <c r="A496" s="1">
        <v>45490</v>
      </c>
      <c r="B496">
        <v>-2.5628274351616114E-2</v>
      </c>
      <c r="C496">
        <v>-2.3267933774948908E-2</v>
      </c>
      <c r="D496">
        <v>-3.2908282769815389E-2</v>
      </c>
    </row>
    <row r="497" spans="1:4" x14ac:dyDescent="0.2">
      <c r="A497" s="1">
        <v>45491</v>
      </c>
      <c r="B497">
        <v>-2.0748905990210932E-2</v>
      </c>
      <c r="C497">
        <v>-2.3347394494635031E-2</v>
      </c>
      <c r="D497">
        <v>-3.3020665582050281E-2</v>
      </c>
    </row>
    <row r="498" spans="1:4" x14ac:dyDescent="0.2">
      <c r="A498" s="1">
        <v>45492</v>
      </c>
      <c r="B498">
        <v>5.842066639886195E-4</v>
      </c>
      <c r="C498">
        <v>-2.3336605918566941E-2</v>
      </c>
      <c r="D498">
        <v>-3.3005407093034185E-2</v>
      </c>
    </row>
    <row r="499" spans="1:4" x14ac:dyDescent="0.2">
      <c r="A499" s="1">
        <v>45495</v>
      </c>
      <c r="B499">
        <v>-1.5646429916826377E-3</v>
      </c>
      <c r="C499">
        <v>-2.3334745531253399E-2</v>
      </c>
      <c r="D499">
        <v>-3.300277591175408E-2</v>
      </c>
    </row>
    <row r="500" spans="1:4" x14ac:dyDescent="0.2">
      <c r="A500" s="1">
        <v>45496</v>
      </c>
      <c r="B500">
        <v>4.6731679149631423E-3</v>
      </c>
      <c r="C500">
        <v>-2.333504728767415E-2</v>
      </c>
      <c r="D500">
        <v>-3.3003202691618494E-2</v>
      </c>
    </row>
    <row r="501" spans="1:4" x14ac:dyDescent="0.2">
      <c r="A501" s="1">
        <v>45497</v>
      </c>
      <c r="B501">
        <v>-2.9169728792721394E-2</v>
      </c>
      <c r="C501">
        <v>-2.3536212855774463E-2</v>
      </c>
      <c r="D501">
        <v>-3.328771499351111E-2</v>
      </c>
    </row>
    <row r="502" spans="1:4" x14ac:dyDescent="0.2">
      <c r="A502" s="1">
        <v>45498</v>
      </c>
      <c r="B502">
        <v>-4.8118238837874302E-3</v>
      </c>
      <c r="C502">
        <v>-2.3531061421611228E-2</v>
      </c>
      <c r="D502">
        <v>-3.3280429221867025E-2</v>
      </c>
    </row>
    <row r="503" spans="1:4" x14ac:dyDescent="0.2">
      <c r="A503" s="1">
        <v>45499</v>
      </c>
      <c r="B503">
        <v>2.1568590435501827E-3</v>
      </c>
      <c r="C503">
        <v>-2.3492940383032346E-2</v>
      </c>
      <c r="D503">
        <v>-3.3226513909524878E-2</v>
      </c>
    </row>
    <row r="504" spans="1:4" x14ac:dyDescent="0.2">
      <c r="A504" s="1">
        <v>45502</v>
      </c>
      <c r="B504">
        <v>1.2798804111910798E-3</v>
      </c>
      <c r="C504">
        <v>-2.3491396186759651E-2</v>
      </c>
      <c r="D504">
        <v>-3.3224329923267848E-2</v>
      </c>
    </row>
    <row r="505" spans="1:4" x14ac:dyDescent="0.2">
      <c r="A505" s="1">
        <v>45503</v>
      </c>
      <c r="B505">
        <v>2.5594627574243062E-3</v>
      </c>
      <c r="C505">
        <v>-2.3487143617519857E-2</v>
      </c>
      <c r="D505">
        <v>-3.3218315433438415E-2</v>
      </c>
    </row>
    <row r="506" spans="1:4" x14ac:dyDescent="0.2">
      <c r="A506" s="1">
        <v>45504</v>
      </c>
      <c r="B506">
        <v>1.4880444631475358E-2</v>
      </c>
      <c r="C506">
        <v>-2.3474770270013365E-2</v>
      </c>
      <c r="D506">
        <v>-3.3200815571934113E-2</v>
      </c>
    </row>
    <row r="507" spans="1:4" x14ac:dyDescent="0.2">
      <c r="A507" s="1">
        <v>45505</v>
      </c>
      <c r="B507">
        <v>-1.6885954691525533E-2</v>
      </c>
      <c r="C507">
        <v>-2.3530698027707391E-2</v>
      </c>
      <c r="D507">
        <v>-3.3279915266934031E-2</v>
      </c>
    </row>
    <row r="508" spans="1:4" x14ac:dyDescent="0.2">
      <c r="A508" s="1">
        <v>45506</v>
      </c>
      <c r="B508">
        <v>6.8436400277155501E-3</v>
      </c>
      <c r="C508">
        <v>-2.2958501639175101E-2</v>
      </c>
      <c r="D508">
        <v>-3.247064699516506E-2</v>
      </c>
    </row>
    <row r="509" spans="1:4" x14ac:dyDescent="0.2">
      <c r="A509" s="1">
        <v>45509</v>
      </c>
      <c r="B509">
        <v>-4.9362121649269883E-2</v>
      </c>
      <c r="C509">
        <v>-2.3468514747370862E-2</v>
      </c>
      <c r="D509">
        <v>-3.3191968266884017E-2</v>
      </c>
    </row>
    <row r="510" spans="1:4" x14ac:dyDescent="0.2">
      <c r="A510" s="1">
        <v>45510</v>
      </c>
      <c r="B510">
        <v>-9.7991372176506036E-3</v>
      </c>
      <c r="C510">
        <v>-2.3488575716104382E-2</v>
      </c>
      <c r="D510">
        <v>-3.3220340877795858E-2</v>
      </c>
    </row>
    <row r="511" spans="1:4" x14ac:dyDescent="0.2">
      <c r="A511" s="1">
        <v>45511</v>
      </c>
      <c r="B511">
        <v>1.2415315724982034E-2</v>
      </c>
      <c r="C511">
        <v>-2.3499258718008256E-2</v>
      </c>
      <c r="D511">
        <v>-3.323545005125679E-2</v>
      </c>
    </row>
    <row r="512" spans="1:4" x14ac:dyDescent="0.2">
      <c r="A512" s="1">
        <v>45512</v>
      </c>
      <c r="B512">
        <v>1.6500248124506577E-2</v>
      </c>
      <c r="C512">
        <v>-2.3555957622767451E-2</v>
      </c>
      <c r="D512">
        <v>-3.3315640394267099E-2</v>
      </c>
    </row>
    <row r="513" spans="1:4" x14ac:dyDescent="0.2">
      <c r="A513" s="1">
        <v>45513</v>
      </c>
      <c r="B513">
        <v>1.3644658427515935E-2</v>
      </c>
      <c r="C513">
        <v>-2.3594098314020161E-2</v>
      </c>
      <c r="D513">
        <v>-3.3369583501760891E-2</v>
      </c>
    </row>
    <row r="514" spans="1:4" x14ac:dyDescent="0.2">
      <c r="A514" s="1">
        <v>45516</v>
      </c>
      <c r="B514">
        <v>7.1002478506271031E-3</v>
      </c>
      <c r="C514">
        <v>-2.3586393724516003E-2</v>
      </c>
      <c r="D514">
        <v>-3.3358686753795191E-2</v>
      </c>
    </row>
    <row r="515" spans="1:4" x14ac:dyDescent="0.2">
      <c r="A515" s="1">
        <v>45517</v>
      </c>
      <c r="B515">
        <v>1.7048787012909614E-2</v>
      </c>
      <c r="C515">
        <v>-2.3613056720484707E-2</v>
      </c>
      <c r="D515">
        <v>-3.3396396737815054E-2</v>
      </c>
    </row>
    <row r="516" spans="1:4" x14ac:dyDescent="0.2">
      <c r="A516" s="1">
        <v>45518</v>
      </c>
      <c r="B516">
        <v>2.0313618240875909E-3</v>
      </c>
      <c r="C516">
        <v>-2.3605359861821759E-2</v>
      </c>
      <c r="D516">
        <v>-3.338551092372561E-2</v>
      </c>
    </row>
    <row r="517" spans="1:4" x14ac:dyDescent="0.2">
      <c r="A517" s="1">
        <v>45519</v>
      </c>
      <c r="B517">
        <v>1.3433492131177534E-2</v>
      </c>
      <c r="C517">
        <v>-2.3584646730417862E-2</v>
      </c>
      <c r="D517">
        <v>-3.3356215946703557E-2</v>
      </c>
    </row>
    <row r="518" spans="1:4" x14ac:dyDescent="0.2">
      <c r="A518" s="1">
        <v>45520</v>
      </c>
      <c r="B518">
        <v>5.9130016776397449E-3</v>
      </c>
      <c r="C518">
        <v>-2.3589380416467336E-2</v>
      </c>
      <c r="D518">
        <v>-3.3362910889218278E-2</v>
      </c>
    </row>
    <row r="519" spans="1:4" x14ac:dyDescent="0.2">
      <c r="A519" s="1">
        <v>45523</v>
      </c>
      <c r="B519">
        <v>-7.1270760624995641E-4</v>
      </c>
      <c r="C519">
        <v>-2.3579869740094919E-2</v>
      </c>
      <c r="D519">
        <v>-3.3349459758128475E-2</v>
      </c>
    </row>
    <row r="520" spans="1:4" x14ac:dyDescent="0.2">
      <c r="A520" s="1">
        <v>45524</v>
      </c>
      <c r="B520">
        <v>2.7411419595209752E-3</v>
      </c>
      <c r="C520">
        <v>-2.3569670050606881E-2</v>
      </c>
      <c r="D520">
        <v>-3.3335034142640517E-2</v>
      </c>
    </row>
    <row r="521" spans="1:4" x14ac:dyDescent="0.2">
      <c r="A521" s="1">
        <v>45525</v>
      </c>
      <c r="B521">
        <v>-4.8449290321113034E-4</v>
      </c>
      <c r="C521">
        <v>-2.3470816393728527E-2</v>
      </c>
      <c r="D521">
        <v>-3.3195223529250958E-2</v>
      </c>
    </row>
    <row r="522" spans="1:4" x14ac:dyDescent="0.2">
      <c r="A522" s="1">
        <v>45526</v>
      </c>
      <c r="B522">
        <v>-8.2949126020532785E-3</v>
      </c>
      <c r="C522">
        <v>-2.3315657289989886E-2</v>
      </c>
      <c r="D522">
        <v>-3.2975779047866041E-2</v>
      </c>
    </row>
    <row r="523" spans="1:4" x14ac:dyDescent="0.2">
      <c r="A523" s="1">
        <v>45527</v>
      </c>
      <c r="B523">
        <v>1.0235914759360702E-2</v>
      </c>
      <c r="C523">
        <v>-2.3304356951927677E-2</v>
      </c>
      <c r="D523">
        <v>-3.2959796764095488E-2</v>
      </c>
    </row>
    <row r="524" spans="1:4" x14ac:dyDescent="0.2">
      <c r="A524" s="1">
        <v>45530</v>
      </c>
      <c r="B524">
        <v>1.4942681865286209E-3</v>
      </c>
      <c r="C524">
        <v>-2.3290105381685047E-2</v>
      </c>
      <c r="D524">
        <v>-3.2939640496332544E-2</v>
      </c>
    </row>
    <row r="525" spans="1:4" x14ac:dyDescent="0.2">
      <c r="A525" s="1">
        <v>45531</v>
      </c>
      <c r="B525">
        <v>3.7325522396613941E-3</v>
      </c>
      <c r="C525">
        <v>-2.3192066190148575E-2</v>
      </c>
      <c r="D525">
        <v>-3.2800981796818798E-2</v>
      </c>
    </row>
    <row r="526" spans="1:4" x14ac:dyDescent="0.2">
      <c r="A526" s="1">
        <v>45532</v>
      </c>
      <c r="B526">
        <v>-6.772209878725316E-3</v>
      </c>
      <c r="C526">
        <v>-2.3128286931232072E-2</v>
      </c>
      <c r="D526">
        <v>-3.2710777573806388E-2</v>
      </c>
    </row>
    <row r="527" spans="1:4" x14ac:dyDescent="0.2">
      <c r="A527" s="1">
        <v>45533</v>
      </c>
      <c r="B527">
        <v>1.445863604298585E-2</v>
      </c>
      <c r="C527">
        <v>-2.3172036313565323E-2</v>
      </c>
      <c r="D527">
        <v>-3.277265316012843E-2</v>
      </c>
    </row>
    <row r="528" spans="1:4" x14ac:dyDescent="0.2">
      <c r="A528" s="1">
        <v>45534</v>
      </c>
      <c r="B528">
        <v>-3.4401539870976749E-3</v>
      </c>
      <c r="C528">
        <v>-2.3162632747234919E-2</v>
      </c>
      <c r="D528">
        <v>-3.2759353516815068E-2</v>
      </c>
    </row>
    <row r="529" spans="1:4" x14ac:dyDescent="0.2">
      <c r="A529" s="1">
        <v>45538</v>
      </c>
      <c r="B529">
        <v>-2.7580671682800657E-2</v>
      </c>
      <c r="C529">
        <v>-2.3349676738104789E-2</v>
      </c>
      <c r="D529">
        <v>-3.3023893402542588E-2</v>
      </c>
    </row>
    <row r="530" spans="1:4" x14ac:dyDescent="0.2">
      <c r="A530" s="1">
        <v>45539</v>
      </c>
      <c r="B530">
        <v>-8.6539765226046061E-3</v>
      </c>
      <c r="C530">
        <v>-2.3046464206475464E-2</v>
      </c>
      <c r="D530">
        <v>-3.2595054132725156E-2</v>
      </c>
    </row>
    <row r="531" spans="1:4" x14ac:dyDescent="0.2">
      <c r="A531" s="1">
        <v>45540</v>
      </c>
      <c r="B531">
        <v>6.9038149660743398E-3</v>
      </c>
      <c r="C531">
        <v>-2.2834447677861334E-2</v>
      </c>
      <c r="D531">
        <v>-3.2295195110304341E-2</v>
      </c>
    </row>
    <row r="532" spans="1:4" x14ac:dyDescent="0.2">
      <c r="A532" s="1">
        <v>45541</v>
      </c>
      <c r="B532">
        <v>-7.0405552600054967E-3</v>
      </c>
      <c r="C532">
        <v>-2.2847851752355892E-2</v>
      </c>
      <c r="D532">
        <v>-3.2314152748657662E-2</v>
      </c>
    </row>
    <row r="533" spans="1:4" x14ac:dyDescent="0.2">
      <c r="A533" s="1">
        <v>45544</v>
      </c>
      <c r="B533">
        <v>4.0560833830555014E-4</v>
      </c>
      <c r="C533">
        <v>-2.2840086792655548E-2</v>
      </c>
      <c r="D533">
        <v>-3.2303170617971437E-2</v>
      </c>
    </row>
    <row r="534" spans="1:4" x14ac:dyDescent="0.2">
      <c r="A534" s="1">
        <v>45545</v>
      </c>
      <c r="B534">
        <v>-3.6289727392569636E-3</v>
      </c>
      <c r="C534">
        <v>-2.2767053978349369E-2</v>
      </c>
      <c r="D534">
        <v>-3.2199878914981855E-2</v>
      </c>
    </row>
    <row r="535" spans="1:4" x14ac:dyDescent="0.2">
      <c r="A535" s="1">
        <v>45546</v>
      </c>
      <c r="B535">
        <v>1.1516930783088066E-2</v>
      </c>
      <c r="C535">
        <v>-2.2754072219258265E-2</v>
      </c>
      <c r="D535">
        <v>-3.218151856536286E-2</v>
      </c>
    </row>
    <row r="536" spans="1:4" x14ac:dyDescent="0.2">
      <c r="A536" s="1">
        <v>45547</v>
      </c>
      <c r="B536">
        <v>4.9715043439930279E-4</v>
      </c>
      <c r="C536">
        <v>-2.2739779079017985E-2</v>
      </c>
      <c r="D536">
        <v>-3.2161303504358939E-2</v>
      </c>
    </row>
    <row r="537" spans="1:4" x14ac:dyDescent="0.2">
      <c r="A537" s="1">
        <v>45548</v>
      </c>
      <c r="B537">
        <v>-1.2116719841065307E-3</v>
      </c>
      <c r="C537">
        <v>-2.2734608691532772E-2</v>
      </c>
      <c r="D537">
        <v>-3.2153990926669894E-2</v>
      </c>
    </row>
    <row r="538" spans="1:4" x14ac:dyDescent="0.2">
      <c r="A538" s="1">
        <v>45551</v>
      </c>
      <c r="B538">
        <v>-2.8169842931960055E-2</v>
      </c>
      <c r="C538">
        <v>-2.2875702677817789E-2</v>
      </c>
      <c r="D538">
        <v>-3.2353542844029519E-2</v>
      </c>
    </row>
    <row r="539" spans="1:4" x14ac:dyDescent="0.2">
      <c r="A539" s="1">
        <v>45552</v>
      </c>
      <c r="B539">
        <v>2.1706652754910605E-3</v>
      </c>
      <c r="C539">
        <v>-2.2869310758779772E-2</v>
      </c>
      <c r="D539">
        <v>-3.2344502630954335E-2</v>
      </c>
    </row>
    <row r="540" spans="1:4" x14ac:dyDescent="0.2">
      <c r="A540" s="1">
        <v>45553</v>
      </c>
      <c r="B540">
        <v>1.7831936404198622E-2</v>
      </c>
      <c r="C540">
        <v>-2.2832466850611847E-2</v>
      </c>
      <c r="D540">
        <v>-3.2292393588524426E-2</v>
      </c>
    </row>
    <row r="541" spans="1:4" x14ac:dyDescent="0.2">
      <c r="A541" s="1">
        <v>45554</v>
      </c>
      <c r="B541">
        <v>3.638800558599399E-2</v>
      </c>
      <c r="C541">
        <v>-2.3104763069460847E-2</v>
      </c>
      <c r="D541">
        <v>-3.2677507327187452E-2</v>
      </c>
    </row>
    <row r="542" spans="1:4" x14ac:dyDescent="0.2">
      <c r="A542" s="1">
        <v>45555</v>
      </c>
      <c r="B542">
        <v>-2.9245582258346668E-3</v>
      </c>
      <c r="C542">
        <v>-2.3105128475972674E-2</v>
      </c>
      <c r="D542">
        <v>-3.267802412859034E-2</v>
      </c>
    </row>
    <row r="543" spans="1:4" x14ac:dyDescent="0.2">
      <c r="A543" s="1">
        <v>45558</v>
      </c>
      <c r="B543">
        <v>-7.6112325957009112E-3</v>
      </c>
      <c r="C543">
        <v>-2.3113508757098142E-2</v>
      </c>
      <c r="D543">
        <v>-3.2689876520110572E-2</v>
      </c>
    </row>
    <row r="544" spans="1:4" x14ac:dyDescent="0.2">
      <c r="A544" s="1">
        <v>45559</v>
      </c>
      <c r="B544">
        <v>3.9700282138527571E-3</v>
      </c>
      <c r="C544">
        <v>-2.2971027836646521E-2</v>
      </c>
      <c r="D544">
        <v>-3.2488363035291658E-2</v>
      </c>
    </row>
    <row r="545" spans="1:4" x14ac:dyDescent="0.2">
      <c r="A545" s="1">
        <v>45560</v>
      </c>
      <c r="B545">
        <v>-4.4101406941445091E-3</v>
      </c>
      <c r="C545">
        <v>-2.2954283001771346E-2</v>
      </c>
      <c r="D545">
        <v>-3.2464680495778879E-2</v>
      </c>
    </row>
    <row r="546" spans="1:4" x14ac:dyDescent="0.2">
      <c r="A546" s="1">
        <v>45561</v>
      </c>
      <c r="B546">
        <v>5.0651210017683603E-3</v>
      </c>
      <c r="C546">
        <v>-2.2957857772884054E-2</v>
      </c>
      <c r="D546">
        <v>-3.2469736362782456E-2</v>
      </c>
    </row>
    <row r="547" spans="1:4" x14ac:dyDescent="0.2">
      <c r="A547" s="1">
        <v>45562</v>
      </c>
      <c r="B547">
        <v>1.1849547522367828E-3</v>
      </c>
      <c r="C547">
        <v>-2.295700942476887E-2</v>
      </c>
      <c r="D547">
        <v>-3.2468536527853767E-2</v>
      </c>
    </row>
    <row r="548" spans="1:4" x14ac:dyDescent="0.2">
      <c r="A548" s="1">
        <v>45565</v>
      </c>
      <c r="B548">
        <v>2.2614347378194344E-2</v>
      </c>
      <c r="C548">
        <v>-2.3022316794376645E-2</v>
      </c>
      <c r="D548">
        <v>-3.2560901986978433E-2</v>
      </c>
    </row>
    <row r="549" spans="1:4" x14ac:dyDescent="0.2">
      <c r="A549" s="1">
        <v>45566</v>
      </c>
      <c r="B549">
        <v>-2.957612577730272E-2</v>
      </c>
      <c r="C549">
        <v>-2.3225345575963542E-2</v>
      </c>
      <c r="D549">
        <v>-3.2848049467261622E-2</v>
      </c>
    </row>
    <row r="550" spans="1:4" x14ac:dyDescent="0.2">
      <c r="A550" s="1">
        <v>45567</v>
      </c>
      <c r="B550">
        <v>2.5198165468428729E-3</v>
      </c>
      <c r="C550">
        <v>-2.3216893956872958E-2</v>
      </c>
      <c r="D550">
        <v>-3.283609618109596E-2</v>
      </c>
    </row>
    <row r="551" spans="1:4" x14ac:dyDescent="0.2">
      <c r="A551" s="1">
        <v>45568</v>
      </c>
      <c r="B551">
        <v>-4.9121781724980702E-3</v>
      </c>
      <c r="C551">
        <v>-2.3216494787542293E-2</v>
      </c>
      <c r="D551">
        <v>-3.2835531628294078E-2</v>
      </c>
    </row>
    <row r="552" spans="1:4" x14ac:dyDescent="0.2">
      <c r="A552" s="1">
        <v>45569</v>
      </c>
      <c r="B552">
        <v>5.0009447608125347E-3</v>
      </c>
      <c r="C552">
        <v>-2.3176748325142195E-2</v>
      </c>
      <c r="D552">
        <v>-3.2779317448022927E-2</v>
      </c>
    </row>
    <row r="553" spans="1:4" x14ac:dyDescent="0.2">
      <c r="A553" s="1">
        <v>45572</v>
      </c>
      <c r="B553">
        <v>-2.2790131781119136E-2</v>
      </c>
      <c r="C553">
        <v>-2.32953567852511E-2</v>
      </c>
      <c r="D553">
        <v>-3.2947067656610783E-2</v>
      </c>
    </row>
    <row r="554" spans="1:4" x14ac:dyDescent="0.2">
      <c r="A554" s="1">
        <v>45573</v>
      </c>
      <c r="B554">
        <v>1.8235125862726066E-2</v>
      </c>
      <c r="C554">
        <v>-2.3360946720290134E-2</v>
      </c>
      <c r="D554">
        <v>-3.3039832753417202E-2</v>
      </c>
    </row>
    <row r="555" spans="1:4" x14ac:dyDescent="0.2">
      <c r="A555" s="1">
        <v>45574</v>
      </c>
      <c r="B555">
        <v>1.6567599555466314E-2</v>
      </c>
      <c r="C555">
        <v>-2.340637100638384E-2</v>
      </c>
      <c r="D555">
        <v>-3.3104077188090553E-2</v>
      </c>
    </row>
    <row r="556" spans="1:4" x14ac:dyDescent="0.2">
      <c r="A556" s="1">
        <v>45575</v>
      </c>
      <c r="B556">
        <v>-2.1861866350544462E-3</v>
      </c>
      <c r="C556">
        <v>-2.3404859904334763E-2</v>
      </c>
      <c r="D556">
        <v>-3.3101940007625542E-2</v>
      </c>
    </row>
    <row r="557" spans="1:4" x14ac:dyDescent="0.2">
      <c r="A557" s="1">
        <v>45576</v>
      </c>
      <c r="B557">
        <v>-6.5254524887824747E-3</v>
      </c>
      <c r="C557">
        <v>-2.3388114150864614E-2</v>
      </c>
      <c r="D557">
        <v>-3.3078256168926352E-2</v>
      </c>
    </row>
    <row r="558" spans="1:4" x14ac:dyDescent="0.2">
      <c r="A558" s="1">
        <v>45579</v>
      </c>
      <c r="B558">
        <v>1.6347631617095664E-2</v>
      </c>
      <c r="C558">
        <v>-2.3441949459656702E-2</v>
      </c>
      <c r="D558">
        <v>-3.3154396473513162E-2</v>
      </c>
    </row>
    <row r="559" spans="1:4" x14ac:dyDescent="0.2">
      <c r="A559" s="1">
        <v>45580</v>
      </c>
      <c r="B559">
        <v>1.0962748962218617E-2</v>
      </c>
      <c r="C559">
        <v>-2.3441717817292318E-2</v>
      </c>
      <c r="D559">
        <v>-3.3154068857296687E-2</v>
      </c>
    </row>
    <row r="560" spans="1:4" x14ac:dyDescent="0.2">
      <c r="A560" s="1">
        <v>45581</v>
      </c>
      <c r="B560">
        <v>-8.8891011434580232E-3</v>
      </c>
      <c r="C560">
        <v>-2.3447979389992959E-2</v>
      </c>
      <c r="D560">
        <v>-3.3162924719059461E-2</v>
      </c>
    </row>
    <row r="561" spans="1:4" x14ac:dyDescent="0.2">
      <c r="A561" s="1">
        <v>45582</v>
      </c>
      <c r="B561">
        <v>1.5925263127538251E-3</v>
      </c>
      <c r="C561">
        <v>-2.3445524902075795E-2</v>
      </c>
      <c r="D561">
        <v>-3.3159453289958181E-2</v>
      </c>
    </row>
    <row r="562" spans="1:4" x14ac:dyDescent="0.2">
      <c r="A562" s="1">
        <v>45583</v>
      </c>
      <c r="B562">
        <v>1.2204365209776748E-2</v>
      </c>
      <c r="C562">
        <v>-2.3414177282311245E-2</v>
      </c>
      <c r="D562">
        <v>-3.3115117753105182E-2</v>
      </c>
    </row>
    <row r="563" spans="1:4" x14ac:dyDescent="0.2">
      <c r="A563" s="1">
        <v>45586</v>
      </c>
      <c r="B563">
        <v>6.2766535984041527E-3</v>
      </c>
      <c r="C563">
        <v>-2.3419943462312295E-2</v>
      </c>
      <c r="D563">
        <v>-3.3123272971519131E-2</v>
      </c>
    </row>
    <row r="564" spans="1:4" x14ac:dyDescent="0.2">
      <c r="A564" s="1">
        <v>45587</v>
      </c>
      <c r="B564">
        <v>-2.6211552771956558E-3</v>
      </c>
      <c r="C564">
        <v>-2.3423054511513729E-2</v>
      </c>
      <c r="D564">
        <v>-3.31276729877742E-2</v>
      </c>
    </row>
    <row r="565" spans="1:4" x14ac:dyDescent="0.2">
      <c r="A565" s="1">
        <v>45588</v>
      </c>
      <c r="B565">
        <v>-2.1870040617902594E-2</v>
      </c>
      <c r="C565">
        <v>-2.3495820919134793E-2</v>
      </c>
      <c r="D565">
        <v>-3.3230587906705071E-2</v>
      </c>
    </row>
    <row r="566" spans="1:4" x14ac:dyDescent="0.2">
      <c r="A566" s="1">
        <v>45589</v>
      </c>
      <c r="B566">
        <v>-8.1166002012239026E-4</v>
      </c>
      <c r="C566">
        <v>-2.3337845974547074E-2</v>
      </c>
      <c r="D566">
        <v>-3.3007160927871405E-2</v>
      </c>
    </row>
    <row r="567" spans="1:4" x14ac:dyDescent="0.2">
      <c r="A567" s="1">
        <v>45590</v>
      </c>
      <c r="B567">
        <v>3.6342442956246485E-3</v>
      </c>
      <c r="C567">
        <v>-2.3328895232276475E-2</v>
      </c>
      <c r="D567">
        <v>-3.2994501722267262E-2</v>
      </c>
    </row>
    <row r="568" spans="1:4" x14ac:dyDescent="0.2">
      <c r="A568" s="1">
        <v>45593</v>
      </c>
      <c r="B568">
        <v>8.5539645439194935E-3</v>
      </c>
      <c r="C568">
        <v>-2.3313242719607413E-2</v>
      </c>
      <c r="D568">
        <v>-3.2972364074895837E-2</v>
      </c>
    </row>
    <row r="569" spans="1:4" x14ac:dyDescent="0.2">
      <c r="A569" s="1">
        <v>45594</v>
      </c>
      <c r="B569">
        <v>1.1637380575552228E-3</v>
      </c>
      <c r="C569">
        <v>-2.3312705809144931E-2</v>
      </c>
      <c r="D569">
        <v>-3.2971604712182655E-2</v>
      </c>
    </row>
    <row r="570" spans="1:4" x14ac:dyDescent="0.2">
      <c r="A570" s="1">
        <v>45595</v>
      </c>
      <c r="B570">
        <v>-1.5401481662367043E-2</v>
      </c>
      <c r="C570">
        <v>-2.3306717168130334E-2</v>
      </c>
      <c r="D570">
        <v>-3.2963134862911921E-2</v>
      </c>
    </row>
    <row r="571" spans="1:4" x14ac:dyDescent="0.2">
      <c r="A571" s="1">
        <v>45596</v>
      </c>
      <c r="B571">
        <v>-1.8374413827188362E-2</v>
      </c>
      <c r="C571">
        <v>-2.3306867088573893E-2</v>
      </c>
      <c r="D571">
        <v>-3.2963346898256238E-2</v>
      </c>
    </row>
    <row r="572" spans="1:4" x14ac:dyDescent="0.2">
      <c r="A572" s="1">
        <v>45597</v>
      </c>
      <c r="B572">
        <v>-1.3371180014396666E-2</v>
      </c>
      <c r="C572">
        <v>-2.3345912506153227E-2</v>
      </c>
      <c r="D572">
        <v>-3.301856957745905E-2</v>
      </c>
    </row>
    <row r="573" spans="1:4" x14ac:dyDescent="0.2">
      <c r="A573" s="1">
        <v>45600</v>
      </c>
      <c r="B573">
        <v>-4.045107955529214E-3</v>
      </c>
      <c r="C573">
        <v>-2.3308657045800745E-2</v>
      </c>
      <c r="D573">
        <v>-3.2965878468920698E-2</v>
      </c>
    </row>
    <row r="574" spans="1:4" x14ac:dyDescent="0.2">
      <c r="A574" s="1">
        <v>45601</v>
      </c>
      <c r="B574">
        <v>6.4670445679923215E-3</v>
      </c>
      <c r="C574">
        <v>-2.3273492288927985E-2</v>
      </c>
      <c r="D574">
        <v>-3.2916144282211499E-2</v>
      </c>
    </row>
    <row r="575" spans="1:4" x14ac:dyDescent="0.2">
      <c r="A575" s="1">
        <v>45602</v>
      </c>
      <c r="B575">
        <v>-3.2757475294137974E-3</v>
      </c>
      <c r="C575">
        <v>-2.3271536455362854E-2</v>
      </c>
      <c r="D575">
        <v>-3.2913378109476324E-2</v>
      </c>
    </row>
    <row r="576" spans="1:4" x14ac:dyDescent="0.2">
      <c r="A576" s="1">
        <v>45603</v>
      </c>
      <c r="B576">
        <v>2.1151702343094405E-2</v>
      </c>
      <c r="C576">
        <v>-2.3364700259531166E-2</v>
      </c>
      <c r="D576">
        <v>-3.3045141455596179E-2</v>
      </c>
    </row>
    <row r="577" spans="1:4" x14ac:dyDescent="0.2">
      <c r="A577" s="1">
        <v>45604</v>
      </c>
      <c r="B577">
        <v>-1.1909955074121746E-3</v>
      </c>
      <c r="C577">
        <v>-2.3251984764360415E-2</v>
      </c>
      <c r="D577">
        <v>-3.2885725779778316E-2</v>
      </c>
    </row>
    <row r="578" spans="1:4" x14ac:dyDescent="0.2">
      <c r="A578" s="1">
        <v>45607</v>
      </c>
      <c r="B578">
        <v>-1.2100722821682128E-2</v>
      </c>
      <c r="C578">
        <v>-2.3270164316644193E-2</v>
      </c>
      <c r="D578">
        <v>-3.2911437467501414E-2</v>
      </c>
    </row>
    <row r="579" spans="1:4" x14ac:dyDescent="0.2">
      <c r="A579" s="1">
        <v>45608</v>
      </c>
      <c r="B579">
        <v>0</v>
      </c>
      <c r="C579">
        <v>-2.3228246409942498E-2</v>
      </c>
      <c r="D579">
        <v>-3.2852152172115907E-2</v>
      </c>
    </row>
    <row r="580" spans="1:4" x14ac:dyDescent="0.2">
      <c r="A580" s="1">
        <v>45609</v>
      </c>
      <c r="B580">
        <v>3.9605430046603766E-3</v>
      </c>
      <c r="C580">
        <v>-2.322944042834817E-2</v>
      </c>
      <c r="D580">
        <v>-3.2853840895133019E-2</v>
      </c>
    </row>
    <row r="581" spans="1:4" x14ac:dyDescent="0.2">
      <c r="A581" s="1">
        <v>45610</v>
      </c>
      <c r="B581">
        <v>1.3675783196816373E-2</v>
      </c>
      <c r="C581">
        <v>-2.3252571400466108E-2</v>
      </c>
      <c r="D581">
        <v>-3.2886555470417619E-2</v>
      </c>
    </row>
    <row r="582" spans="1:4" x14ac:dyDescent="0.2">
      <c r="A582" s="1">
        <v>45611</v>
      </c>
      <c r="B582">
        <v>-1.4202950177993395E-2</v>
      </c>
      <c r="C582">
        <v>-2.3304455011364775E-2</v>
      </c>
      <c r="D582">
        <v>-3.2959935451428689E-2</v>
      </c>
    </row>
    <row r="583" spans="1:4" x14ac:dyDescent="0.2">
      <c r="A583" s="1">
        <v>45614</v>
      </c>
      <c r="B583">
        <v>1.3330245929658105E-2</v>
      </c>
      <c r="C583">
        <v>-2.3324607301050855E-2</v>
      </c>
      <c r="D583">
        <v>-3.298843721930645E-2</v>
      </c>
    </row>
    <row r="584" spans="1:4" x14ac:dyDescent="0.2">
      <c r="A584" s="1">
        <v>45615</v>
      </c>
      <c r="B584">
        <v>1.1370097870751019E-3</v>
      </c>
      <c r="C584">
        <v>-2.3318876999757047E-2</v>
      </c>
      <c r="D584">
        <v>-3.2980332744832828E-2</v>
      </c>
    </row>
    <row r="585" spans="1:4" x14ac:dyDescent="0.2">
      <c r="A585" s="1">
        <v>45616</v>
      </c>
      <c r="B585">
        <v>3.144276384168543E-3</v>
      </c>
      <c r="C585">
        <v>-2.3318432134694644E-2</v>
      </c>
      <c r="D585">
        <v>-3.2979703563685528E-2</v>
      </c>
    </row>
    <row r="586" spans="1:4" x14ac:dyDescent="0.2">
      <c r="A586" s="1">
        <v>45617</v>
      </c>
      <c r="B586">
        <v>-2.0965520070953575E-3</v>
      </c>
      <c r="C586">
        <v>-2.3306225585099E-2</v>
      </c>
      <c r="D586">
        <v>-3.2962439607649614E-2</v>
      </c>
    </row>
    <row r="587" spans="1:4" x14ac:dyDescent="0.2">
      <c r="A587" s="1">
        <v>45618</v>
      </c>
      <c r="B587">
        <v>5.8916728697703978E-3</v>
      </c>
      <c r="C587">
        <v>-2.3311640863989864E-2</v>
      </c>
      <c r="D587">
        <v>-3.2970098539927037E-2</v>
      </c>
    </row>
    <row r="588" spans="1:4" x14ac:dyDescent="0.2">
      <c r="A588" s="1">
        <v>45621</v>
      </c>
      <c r="B588">
        <v>1.2963406048286746E-2</v>
      </c>
      <c r="C588">
        <v>-2.3344718255153676E-2</v>
      </c>
      <c r="D588">
        <v>-3.3016880525479984E-2</v>
      </c>
    </row>
    <row r="589" spans="1:4" x14ac:dyDescent="0.2">
      <c r="A589" s="1">
        <v>45622</v>
      </c>
      <c r="B589">
        <v>9.3600404879249765E-3</v>
      </c>
      <c r="C589">
        <v>-2.3352400126440791E-2</v>
      </c>
      <c r="D589">
        <v>-3.3027745142637781E-2</v>
      </c>
    </row>
    <row r="590" spans="1:4" x14ac:dyDescent="0.2">
      <c r="A590" s="1">
        <v>45623</v>
      </c>
      <c r="B590">
        <v>-5.5194841325520709E-4</v>
      </c>
      <c r="C590">
        <v>-2.3351773770126198E-2</v>
      </c>
      <c r="D590">
        <v>-3.3026859274949028E-2</v>
      </c>
    </row>
    <row r="591" spans="1:4" x14ac:dyDescent="0.2">
      <c r="A591" s="1">
        <v>45625</v>
      </c>
      <c r="B591">
        <v>1.0168409968533727E-2</v>
      </c>
      <c r="C591">
        <v>-2.3363792324699352E-2</v>
      </c>
      <c r="D591">
        <v>-3.3043857346037042E-2</v>
      </c>
    </row>
    <row r="592" spans="1:4" x14ac:dyDescent="0.2">
      <c r="A592" s="1">
        <v>45628</v>
      </c>
      <c r="B592">
        <v>9.4787039870700245E-3</v>
      </c>
      <c r="C592">
        <v>-2.3355580993807117E-2</v>
      </c>
      <c r="D592">
        <v>-3.3032243904055819E-2</v>
      </c>
    </row>
    <row r="593" spans="1:4" x14ac:dyDescent="0.2">
      <c r="A593" s="1">
        <v>45629</v>
      </c>
      <c r="B593">
        <v>1.2693499764046455E-2</v>
      </c>
      <c r="C593">
        <v>-2.3295588241059664E-2</v>
      </c>
      <c r="D593">
        <v>-3.2947395008977809E-2</v>
      </c>
    </row>
    <row r="594" spans="1:4" x14ac:dyDescent="0.2">
      <c r="A594" s="1">
        <v>45630</v>
      </c>
      <c r="B594">
        <v>1.4740532085938504E-3</v>
      </c>
      <c r="C594">
        <v>-2.3285367961074104E-2</v>
      </c>
      <c r="D594">
        <v>-3.2932940271956271E-2</v>
      </c>
    </row>
    <row r="595" spans="1:4" x14ac:dyDescent="0.2">
      <c r="A595" s="1">
        <v>45631</v>
      </c>
      <c r="B595">
        <v>1.2411875698595349E-4</v>
      </c>
      <c r="C595">
        <v>-2.3266010773950047E-2</v>
      </c>
      <c r="D595">
        <v>-3.290556303280525E-2</v>
      </c>
    </row>
    <row r="596" spans="1:4" x14ac:dyDescent="0.2">
      <c r="A596" s="1">
        <v>45632</v>
      </c>
      <c r="B596">
        <v>-8.2360906817949471E-4</v>
      </c>
      <c r="C596">
        <v>-2.3256850232109511E-2</v>
      </c>
      <c r="D596">
        <v>-3.2892607103665657E-2</v>
      </c>
    </row>
    <row r="597" spans="1:4" x14ac:dyDescent="0.2">
      <c r="A597" s="1">
        <v>45635</v>
      </c>
      <c r="B597">
        <v>1.5973921022348993E-2</v>
      </c>
      <c r="C597">
        <v>-2.3264169507297913E-2</v>
      </c>
      <c r="D597">
        <v>-3.2902958894241469E-2</v>
      </c>
    </row>
    <row r="598" spans="1:4" x14ac:dyDescent="0.2">
      <c r="A598" s="1">
        <v>45636</v>
      </c>
      <c r="B598">
        <v>4.1274230925100091E-3</v>
      </c>
      <c r="C598">
        <v>-2.325534152714355E-2</v>
      </c>
      <c r="D598">
        <v>-3.289047331344104E-2</v>
      </c>
    </row>
    <row r="599" spans="1:4" x14ac:dyDescent="0.2">
      <c r="A599" s="1">
        <v>45637</v>
      </c>
      <c r="B599">
        <v>-5.1792822892963867E-3</v>
      </c>
      <c r="C599">
        <v>-2.3207109248735838E-2</v>
      </c>
      <c r="D599">
        <v>-3.2822257481651872E-2</v>
      </c>
    </row>
    <row r="600" spans="1:4" x14ac:dyDescent="0.2">
      <c r="A600" s="1">
        <v>45638</v>
      </c>
      <c r="B600">
        <v>5.9500139951910742E-3</v>
      </c>
      <c r="C600">
        <v>-2.3213057231287932E-2</v>
      </c>
      <c r="D600">
        <v>-3.2830669826883187E-2</v>
      </c>
    </row>
    <row r="601" spans="1:4" x14ac:dyDescent="0.2">
      <c r="A601" s="1">
        <v>45639</v>
      </c>
      <c r="B601">
        <v>6.7694243507673152E-4</v>
      </c>
      <c r="C601">
        <v>-2.3209942297457618E-2</v>
      </c>
      <c r="D601">
        <v>-3.2826264316523364E-2</v>
      </c>
    </row>
    <row r="602" spans="1:4" x14ac:dyDescent="0.2">
      <c r="A602" s="1">
        <v>45642</v>
      </c>
      <c r="B602">
        <v>1.1662773673532528E-2</v>
      </c>
      <c r="C602">
        <v>-2.3215540178193196E-2</v>
      </c>
      <c r="D602">
        <v>-3.2834181506074436E-2</v>
      </c>
    </row>
    <row r="603" spans="1:4" x14ac:dyDescent="0.2">
      <c r="A603" s="1">
        <v>45643</v>
      </c>
      <c r="B603">
        <v>9.6696901942369008E-3</v>
      </c>
      <c r="C603">
        <v>-2.3228667141048948E-2</v>
      </c>
      <c r="D603">
        <v>-3.2852747220148755E-2</v>
      </c>
    </row>
    <row r="604" spans="1:4" x14ac:dyDescent="0.2">
      <c r="A604" s="1">
        <v>45644</v>
      </c>
      <c r="B604">
        <v>-2.1648583541961725E-2</v>
      </c>
      <c r="C604">
        <v>-2.3316082956944255E-2</v>
      </c>
      <c r="D604">
        <v>-3.297638107676279E-2</v>
      </c>
    </row>
    <row r="605" spans="1:4" x14ac:dyDescent="0.2">
      <c r="A605" s="1">
        <v>45645</v>
      </c>
      <c r="B605">
        <v>6.9920327188778024E-3</v>
      </c>
      <c r="C605">
        <v>-2.3323719893769111E-2</v>
      </c>
      <c r="D605">
        <v>-3.2987182142253109E-2</v>
      </c>
    </row>
    <row r="606" spans="1:4" x14ac:dyDescent="0.2">
      <c r="A606" s="1">
        <v>45646</v>
      </c>
      <c r="B606">
        <v>1.8635107522078503E-2</v>
      </c>
      <c r="C606">
        <v>-2.3385279870828588E-2</v>
      </c>
      <c r="D606">
        <v>-3.3074247592583622E-2</v>
      </c>
    </row>
    <row r="607" spans="1:4" x14ac:dyDescent="0.2">
      <c r="A607" s="1">
        <v>45649</v>
      </c>
      <c r="B607">
        <v>3.0612067535469309E-3</v>
      </c>
      <c r="C607">
        <v>-2.3382501548930977E-2</v>
      </c>
      <c r="D607">
        <v>-3.3070318158903933E-2</v>
      </c>
    </row>
    <row r="608" spans="1:4" x14ac:dyDescent="0.2">
      <c r="A608" s="1">
        <v>45650</v>
      </c>
      <c r="B608">
        <v>1.1412358529852997E-2</v>
      </c>
      <c r="C608">
        <v>-2.3406822812621991E-2</v>
      </c>
      <c r="D608">
        <v>-3.3104716186275182E-2</v>
      </c>
    </row>
    <row r="609" spans="1:4" x14ac:dyDescent="0.2">
      <c r="A609" s="1">
        <v>45652</v>
      </c>
      <c r="B609">
        <v>3.1725692907725459E-3</v>
      </c>
      <c r="C609">
        <v>-2.3407496837753814E-2</v>
      </c>
      <c r="D609">
        <v>-3.3105669472881828E-2</v>
      </c>
    </row>
    <row r="610" spans="1:4" x14ac:dyDescent="0.2">
      <c r="A610" s="1">
        <v>45653</v>
      </c>
      <c r="B610">
        <v>-1.3333166137427589E-2</v>
      </c>
      <c r="C610">
        <v>-2.344616157775177E-2</v>
      </c>
      <c r="D610">
        <v>-3.3160353752516664E-2</v>
      </c>
    </row>
    <row r="611" spans="1:4" x14ac:dyDescent="0.2">
      <c r="A611" s="1">
        <v>45656</v>
      </c>
      <c r="B611">
        <v>-1.3349873827846392E-2</v>
      </c>
      <c r="C611">
        <v>-2.3165130729789294E-2</v>
      </c>
      <c r="D611">
        <v>-3.2762886461211789E-2</v>
      </c>
    </row>
    <row r="612" spans="1:4" x14ac:dyDescent="0.2">
      <c r="A612" s="1">
        <v>45657</v>
      </c>
      <c r="B612">
        <v>-7.0856026418982983E-3</v>
      </c>
      <c r="C612">
        <v>-2.3163422040424032E-2</v>
      </c>
      <c r="D612">
        <v>-3.2760469829234855E-2</v>
      </c>
    </row>
    <row r="613" spans="1:4" x14ac:dyDescent="0.2">
      <c r="A613" s="1">
        <v>45659</v>
      </c>
      <c r="B613">
        <v>-2.6585018340830806E-2</v>
      </c>
      <c r="C613">
        <v>-2.3298335842809173E-2</v>
      </c>
      <c r="D613">
        <v>-3.2951280994565797E-2</v>
      </c>
    </row>
    <row r="614" spans="1:4" x14ac:dyDescent="0.2">
      <c r="A614" s="1">
        <v>45660</v>
      </c>
      <c r="B614">
        <v>-2.0059276502658323E-3</v>
      </c>
      <c r="C614">
        <v>-2.3294386376822372E-2</v>
      </c>
      <c r="D614">
        <v>-3.294569518945132E-2</v>
      </c>
    </row>
    <row r="615" spans="1:4" x14ac:dyDescent="0.2">
      <c r="A615" s="1">
        <v>45663</v>
      </c>
      <c r="B615">
        <v>6.7118767621311901E-3</v>
      </c>
      <c r="C615">
        <v>-2.3180872754402237E-2</v>
      </c>
      <c r="D615">
        <v>-3.2785150707033646E-2</v>
      </c>
    </row>
    <row r="616" spans="1:4" x14ac:dyDescent="0.2">
      <c r="A616" s="1">
        <v>45664</v>
      </c>
      <c r="B616">
        <v>-1.1453744248810531E-2</v>
      </c>
      <c r="C616">
        <v>-2.321519644650662E-2</v>
      </c>
      <c r="D616">
        <v>-3.2833695359790534E-2</v>
      </c>
    </row>
    <row r="617" spans="1:4" x14ac:dyDescent="0.2">
      <c r="A617" s="1">
        <v>45665</v>
      </c>
      <c r="B617">
        <v>2.0237381356359016E-3</v>
      </c>
      <c r="C617">
        <v>-2.3210531468869144E-2</v>
      </c>
      <c r="D617">
        <v>-3.2827097592894088E-2</v>
      </c>
    </row>
    <row r="618" spans="1:4" x14ac:dyDescent="0.2">
      <c r="A618" s="1">
        <v>45667</v>
      </c>
      <c r="B618">
        <v>-2.4402347242003131E-2</v>
      </c>
      <c r="C618">
        <v>-2.3357280976039462E-2</v>
      </c>
      <c r="D618">
        <v>-3.3034648221368514E-2</v>
      </c>
    </row>
    <row r="619" spans="1:4" x14ac:dyDescent="0.2">
      <c r="A619" s="1">
        <v>45670</v>
      </c>
      <c r="B619">
        <v>-1.0395024154283115E-2</v>
      </c>
      <c r="C619">
        <v>-2.3387157108318339E-2</v>
      </c>
      <c r="D619">
        <v>-3.3076902605389501E-2</v>
      </c>
    </row>
    <row r="620" spans="1:4" x14ac:dyDescent="0.2">
      <c r="A620" s="1">
        <v>45671</v>
      </c>
      <c r="B620">
        <v>-4.7899648705561028E-3</v>
      </c>
      <c r="C620">
        <v>-2.3353399334054961E-2</v>
      </c>
      <c r="D620">
        <v>-3.3029158341034801E-2</v>
      </c>
    </row>
    <row r="621" spans="1:4" x14ac:dyDescent="0.2">
      <c r="A621" s="1">
        <v>45672</v>
      </c>
      <c r="B621">
        <v>1.9484558702678526E-2</v>
      </c>
      <c r="C621">
        <v>-2.3423563032547525E-2</v>
      </c>
      <c r="D621">
        <v>-3.3128392198776627E-2</v>
      </c>
    </row>
    <row r="622" spans="1:4" x14ac:dyDescent="0.2">
      <c r="A622" s="1">
        <v>45673</v>
      </c>
      <c r="B622">
        <v>-4.1239843954680847E-2</v>
      </c>
      <c r="C622">
        <v>-2.361057730600772E-2</v>
      </c>
      <c r="D622">
        <v>-3.3392890054604524E-2</v>
      </c>
    </row>
    <row r="623" spans="1:4" x14ac:dyDescent="0.2">
      <c r="A623" s="1">
        <v>45674</v>
      </c>
      <c r="B623">
        <v>7.5041493120747938E-3</v>
      </c>
      <c r="C623">
        <v>-2.3571584857800185E-2</v>
      </c>
      <c r="D623">
        <v>-3.3337742290995086E-2</v>
      </c>
    </row>
    <row r="624" spans="1:4" x14ac:dyDescent="0.2">
      <c r="A624" s="1">
        <v>45678</v>
      </c>
      <c r="B624">
        <v>-3.243575618919757E-2</v>
      </c>
      <c r="C624">
        <v>-2.3792923230386252E-2</v>
      </c>
      <c r="D624">
        <v>-3.3650785375238142E-2</v>
      </c>
    </row>
    <row r="625" spans="1:4" x14ac:dyDescent="0.2">
      <c r="A625" s="1">
        <v>45679</v>
      </c>
      <c r="B625">
        <v>5.3328174954478226E-3</v>
      </c>
      <c r="C625">
        <v>-2.3789724566187151E-2</v>
      </c>
      <c r="D625">
        <v>-3.3646261443419874E-2</v>
      </c>
    </row>
    <row r="626" spans="1:4" x14ac:dyDescent="0.2">
      <c r="A626" s="1">
        <v>45680</v>
      </c>
      <c r="B626">
        <v>-7.6394541056611618E-4</v>
      </c>
      <c r="C626">
        <v>-2.3786362778921349E-2</v>
      </c>
      <c r="D626">
        <v>-3.3641506803535434E-2</v>
      </c>
    </row>
    <row r="627" spans="1:4" x14ac:dyDescent="0.2">
      <c r="A627" s="1">
        <v>45681</v>
      </c>
      <c r="B627">
        <v>-3.9368178877678866E-3</v>
      </c>
      <c r="C627">
        <v>-2.3789828513703919E-2</v>
      </c>
      <c r="D627">
        <v>-3.364640845837652E-2</v>
      </c>
    </row>
    <row r="628" spans="1:4" x14ac:dyDescent="0.2">
      <c r="A628" s="1">
        <v>45684</v>
      </c>
      <c r="B628">
        <v>3.1283302540971183E-2</v>
      </c>
      <c r="C628">
        <v>-2.3981872781598405E-2</v>
      </c>
      <c r="D628">
        <v>-3.3918020331322372E-2</v>
      </c>
    </row>
    <row r="629" spans="1:4" x14ac:dyDescent="0.2">
      <c r="A629" s="1">
        <v>45685</v>
      </c>
      <c r="B629">
        <v>3.5890581716415557E-2</v>
      </c>
      <c r="C629">
        <v>-2.4254713603185585E-2</v>
      </c>
      <c r="D629">
        <v>-3.4303904312030897E-2</v>
      </c>
    </row>
    <row r="630" spans="1:4" x14ac:dyDescent="0.2">
      <c r="A630" s="1">
        <v>45686</v>
      </c>
      <c r="B630">
        <v>4.6060912046476717E-3</v>
      </c>
      <c r="C630">
        <v>-2.4164571887132558E-2</v>
      </c>
      <c r="D630">
        <v>-3.4176415162804286E-2</v>
      </c>
    </row>
    <row r="631" spans="1:4" x14ac:dyDescent="0.2">
      <c r="A631" s="1">
        <v>45687</v>
      </c>
      <c r="B631">
        <v>-7.4205898339022103E-3</v>
      </c>
      <c r="C631">
        <v>-2.4085441489008701E-2</v>
      </c>
      <c r="D631">
        <v>-3.4064499530658571E-2</v>
      </c>
    </row>
    <row r="632" spans="1:4" x14ac:dyDescent="0.2">
      <c r="A632" s="1">
        <v>45688</v>
      </c>
      <c r="B632">
        <v>-6.7174191484193433E-3</v>
      </c>
      <c r="C632">
        <v>-2.4064876349605947E-2</v>
      </c>
      <c r="D632">
        <v>-3.4035413861547931E-2</v>
      </c>
    </row>
    <row r="633" spans="1:4" x14ac:dyDescent="0.2">
      <c r="A633" s="1">
        <v>45691</v>
      </c>
      <c r="B633">
        <v>-3.4435425684840759E-2</v>
      </c>
      <c r="C633">
        <v>-2.4336158120027426E-2</v>
      </c>
      <c r="D633">
        <v>-3.441909284644077E-2</v>
      </c>
    </row>
    <row r="634" spans="1:4" x14ac:dyDescent="0.2">
      <c r="A634" s="1">
        <v>45692</v>
      </c>
      <c r="B634">
        <v>2.0781623550686325E-2</v>
      </c>
      <c r="C634">
        <v>-2.4406824939916232E-2</v>
      </c>
      <c r="D634">
        <v>-3.4519038278374575E-2</v>
      </c>
    </row>
    <row r="635" spans="1:4" x14ac:dyDescent="0.2">
      <c r="A635" s="1">
        <v>45693</v>
      </c>
      <c r="B635">
        <v>-1.4089927170340957E-3</v>
      </c>
      <c r="C635">
        <v>-2.4394663322389046E-2</v>
      </c>
      <c r="D635">
        <v>-3.4501837870620541E-2</v>
      </c>
    </row>
    <row r="636" spans="1:4" x14ac:dyDescent="0.2">
      <c r="A636" s="1">
        <v>45694</v>
      </c>
      <c r="B636">
        <v>3.21702666034707E-3</v>
      </c>
      <c r="C636">
        <v>-2.4395899109322654E-2</v>
      </c>
      <c r="D636">
        <v>-3.4503585667663789E-2</v>
      </c>
    </row>
    <row r="637" spans="1:4" x14ac:dyDescent="0.2">
      <c r="A637" s="1">
        <v>45695</v>
      </c>
      <c r="B637">
        <v>-2.4262337812937015E-2</v>
      </c>
      <c r="C637">
        <v>-2.452591804587342E-2</v>
      </c>
      <c r="D637">
        <v>-3.4687473930834364E-2</v>
      </c>
    </row>
    <row r="638" spans="1:4" x14ac:dyDescent="0.2">
      <c r="A638" s="1">
        <v>45698</v>
      </c>
      <c r="B638">
        <v>1.1874939316890148E-3</v>
      </c>
      <c r="C638">
        <v>-2.4523532269251615E-2</v>
      </c>
      <c r="D638">
        <v>-3.4684099681429353E-2</v>
      </c>
    </row>
    <row r="639" spans="1:4" x14ac:dyDescent="0.2">
      <c r="A639" s="1">
        <v>45699</v>
      </c>
      <c r="B639">
        <v>2.1595001604812671E-2</v>
      </c>
      <c r="C639">
        <v>-2.4597399747223601E-2</v>
      </c>
      <c r="D639">
        <v>-3.4788571865169725E-2</v>
      </c>
    </row>
    <row r="640" spans="1:4" x14ac:dyDescent="0.2">
      <c r="A640" s="1">
        <v>45700</v>
      </c>
      <c r="B640">
        <v>1.810716663103799E-2</v>
      </c>
      <c r="C640">
        <v>-2.4629043068950848E-2</v>
      </c>
      <c r="D640">
        <v>-3.4833325618951576E-2</v>
      </c>
    </row>
    <row r="641" spans="1:4" x14ac:dyDescent="0.2">
      <c r="A641" s="1">
        <v>45701</v>
      </c>
      <c r="B641">
        <v>1.948731168609313E-2</v>
      </c>
      <c r="C641">
        <v>-2.469627508996616E-2</v>
      </c>
      <c r="D641">
        <v>-3.492841314929087E-2</v>
      </c>
    </row>
    <row r="642" spans="1:4" x14ac:dyDescent="0.2">
      <c r="A642" s="1">
        <v>45702</v>
      </c>
      <c r="B642">
        <v>1.2627692992012303E-2</v>
      </c>
      <c r="C642">
        <v>-2.4723725296216744E-2</v>
      </c>
      <c r="D642">
        <v>-3.4967236499835061E-2</v>
      </c>
    </row>
    <row r="643" spans="1:4" x14ac:dyDescent="0.2">
      <c r="A643" s="1">
        <v>45706</v>
      </c>
      <c r="B643">
        <v>-5.339379280271065E-4</v>
      </c>
      <c r="C643">
        <v>-2.4703929430109489E-2</v>
      </c>
      <c r="D643">
        <v>-3.4939238828626616E-2</v>
      </c>
    </row>
    <row r="644" spans="1:4" x14ac:dyDescent="0.2">
      <c r="A644" s="1">
        <v>45707</v>
      </c>
      <c r="B644">
        <v>1.6337726533154325E-3</v>
      </c>
      <c r="C644">
        <v>-2.4697707461469459E-2</v>
      </c>
      <c r="D644">
        <v>-3.4930438979642535E-2</v>
      </c>
    </row>
    <row r="645" spans="1:4" x14ac:dyDescent="0.2">
      <c r="A645" s="1">
        <v>45708</v>
      </c>
      <c r="B645">
        <v>3.9175523063801074E-3</v>
      </c>
      <c r="C645">
        <v>-2.4697370447850767E-2</v>
      </c>
      <c r="D645">
        <v>-3.4929962334850247E-2</v>
      </c>
    </row>
    <row r="646" spans="1:4" x14ac:dyDescent="0.2">
      <c r="A646" s="1">
        <v>45709</v>
      </c>
      <c r="B646">
        <v>-1.1446138995762781E-3</v>
      </c>
      <c r="C646">
        <v>-2.4676612540227013E-2</v>
      </c>
      <c r="D646">
        <v>-3.4900604029965969E-2</v>
      </c>
    </row>
    <row r="647" spans="1:4" x14ac:dyDescent="0.2">
      <c r="A647" s="1">
        <v>45712</v>
      </c>
      <c r="B647">
        <v>6.5840268990318496E-3</v>
      </c>
      <c r="C647">
        <v>-2.4654940798229625E-2</v>
      </c>
      <c r="D647">
        <v>-3.4869953271687966E-2</v>
      </c>
    </row>
    <row r="648" spans="1:4" x14ac:dyDescent="0.2">
      <c r="A648" s="1">
        <v>45713</v>
      </c>
      <c r="B648">
        <v>-5.3651340741395876E-4</v>
      </c>
      <c r="C648">
        <v>-2.4638898742880326E-2</v>
      </c>
      <c r="D648">
        <v>-3.4847264686670064E-2</v>
      </c>
    </row>
    <row r="649" spans="1:4" x14ac:dyDescent="0.2">
      <c r="A649" s="1">
        <v>45714</v>
      </c>
      <c r="B649">
        <v>-2.7408347666512463E-2</v>
      </c>
      <c r="C649">
        <v>-2.4808171569271727E-2</v>
      </c>
      <c r="D649">
        <v>-3.5086670475340968E-2</v>
      </c>
    </row>
    <row r="650" spans="1:4" x14ac:dyDescent="0.2">
      <c r="A650" s="1">
        <v>45715</v>
      </c>
      <c r="B650">
        <v>-1.2813814050577691E-2</v>
      </c>
      <c r="C650">
        <v>-2.4837440019282241E-2</v>
      </c>
      <c r="D650">
        <v>-3.5128065402733159E-2</v>
      </c>
    </row>
    <row r="651" spans="1:4" x14ac:dyDescent="0.2">
      <c r="A651" s="1">
        <v>45716</v>
      </c>
      <c r="B651">
        <v>1.8949965457757945E-2</v>
      </c>
      <c r="C651">
        <v>-2.4901596941983746E-2</v>
      </c>
      <c r="D651">
        <v>-3.5218803762843816E-2</v>
      </c>
    </row>
    <row r="652" spans="1:4" x14ac:dyDescent="0.2">
      <c r="A652" s="1">
        <v>45719</v>
      </c>
      <c r="B652">
        <v>-1.5877701505974975E-2</v>
      </c>
      <c r="C652">
        <v>-2.4953591464024073E-2</v>
      </c>
      <c r="D652">
        <v>-3.5292340607599094E-2</v>
      </c>
    </row>
    <row r="653" spans="1:4" x14ac:dyDescent="0.2">
      <c r="A653" s="1">
        <v>45720</v>
      </c>
      <c r="B653">
        <v>-8.8620487043478309E-3</v>
      </c>
      <c r="C653">
        <v>-2.4817840191339102E-2</v>
      </c>
      <c r="D653">
        <v>-3.5100344992041302E-2</v>
      </c>
    </row>
    <row r="654" spans="1:4" x14ac:dyDescent="0.2">
      <c r="A654" s="1">
        <v>45721</v>
      </c>
      <c r="B654">
        <v>-8.0916145481578256E-4</v>
      </c>
      <c r="C654">
        <v>-2.4619314770398703E-2</v>
      </c>
      <c r="D654">
        <v>-3.4819566700660005E-2</v>
      </c>
    </row>
    <row r="655" spans="1:4" x14ac:dyDescent="0.2">
      <c r="A655" s="1">
        <v>45722</v>
      </c>
      <c r="B655">
        <v>-1.7312477406621922E-3</v>
      </c>
      <c r="C655">
        <v>-2.4609855821203501E-2</v>
      </c>
      <c r="D655">
        <v>-3.4806188728304065E-2</v>
      </c>
    </row>
    <row r="656" spans="1:4" x14ac:dyDescent="0.2">
      <c r="A656" s="1">
        <v>45723</v>
      </c>
      <c r="B656">
        <v>1.5760093487546454E-2</v>
      </c>
      <c r="C656">
        <v>-2.4654549119339533E-2</v>
      </c>
      <c r="D656">
        <v>-3.4869399312759126E-2</v>
      </c>
    </row>
    <row r="657" spans="1:4" x14ac:dyDescent="0.2">
      <c r="A657" s="1">
        <v>45726</v>
      </c>
      <c r="B657">
        <v>-4.9695494203868359E-2</v>
      </c>
      <c r="C657">
        <v>-2.5203717100534508E-2</v>
      </c>
      <c r="D657">
        <v>-3.5646098068570019E-2</v>
      </c>
    </row>
    <row r="658" spans="1:4" x14ac:dyDescent="0.2">
      <c r="A658" s="1">
        <v>45727</v>
      </c>
      <c r="B658">
        <v>-2.9618585389452144E-2</v>
      </c>
      <c r="C658">
        <v>-2.5381698068145865E-2</v>
      </c>
      <c r="D658">
        <v>-3.5897819947549481E-2</v>
      </c>
    </row>
    <row r="659" spans="1:4" x14ac:dyDescent="0.2">
      <c r="A659" s="1">
        <v>45728</v>
      </c>
      <c r="B659">
        <v>-1.763672068462729E-2</v>
      </c>
      <c r="C659">
        <v>-2.5454927920382394E-2</v>
      </c>
      <c r="D659">
        <v>-3.6001390325044111E-2</v>
      </c>
    </row>
    <row r="660" spans="1:4" x14ac:dyDescent="0.2">
      <c r="A660" s="1">
        <v>45729</v>
      </c>
      <c r="B660">
        <v>-3.4221150612071587E-2</v>
      </c>
      <c r="C660">
        <v>-2.5680356863979657E-2</v>
      </c>
      <c r="D660">
        <v>-3.6320218781930404E-2</v>
      </c>
    </row>
    <row r="661" spans="1:4" x14ac:dyDescent="0.2">
      <c r="A661" s="1">
        <v>45730</v>
      </c>
      <c r="B661">
        <v>1.8005247489117603E-2</v>
      </c>
      <c r="C661">
        <v>-2.5721319502615837E-2</v>
      </c>
      <c r="D661">
        <v>-3.6378153023461063E-2</v>
      </c>
    </row>
    <row r="662" spans="1:4" x14ac:dyDescent="0.2">
      <c r="A662" s="1">
        <v>45733</v>
      </c>
      <c r="B662">
        <v>2.3917217458031053E-3</v>
      </c>
      <c r="C662">
        <v>-2.5719817520649498E-2</v>
      </c>
      <c r="D662">
        <v>-3.6376028741703106E-2</v>
      </c>
    </row>
    <row r="663" spans="1:4" x14ac:dyDescent="0.2">
      <c r="A663" s="1">
        <v>45734</v>
      </c>
      <c r="B663">
        <v>-6.1435230971506752E-3</v>
      </c>
      <c r="C663">
        <v>-2.5723759085214768E-2</v>
      </c>
      <c r="D663">
        <v>-3.6381603371686326E-2</v>
      </c>
    </row>
    <row r="664" spans="1:4" x14ac:dyDescent="0.2">
      <c r="A664" s="1">
        <v>45735</v>
      </c>
      <c r="B664">
        <v>1.1913620322592765E-2</v>
      </c>
      <c r="C664">
        <v>-2.5715852593892682E-2</v>
      </c>
      <c r="D664">
        <v>-3.6370421070126557E-2</v>
      </c>
    </row>
    <row r="665" spans="1:4" x14ac:dyDescent="0.2">
      <c r="A665" s="1">
        <v>45736</v>
      </c>
      <c r="B665">
        <v>-5.3008824009063314E-3</v>
      </c>
      <c r="C665">
        <v>-2.5683322407249548E-2</v>
      </c>
      <c r="D665">
        <v>-3.6324413006369745E-2</v>
      </c>
    </row>
    <row r="666" spans="1:4" x14ac:dyDescent="0.2">
      <c r="A666" s="1">
        <v>45737</v>
      </c>
      <c r="B666">
        <v>1.9285374531601077E-2</v>
      </c>
      <c r="C666">
        <v>-2.5369681982182E-2</v>
      </c>
      <c r="D666">
        <v>-3.5880825367862697E-2</v>
      </c>
    </row>
    <row r="667" spans="1:4" x14ac:dyDescent="0.2">
      <c r="A667" s="1">
        <v>45740</v>
      </c>
      <c r="B667">
        <v>1.1205919203954537E-2</v>
      </c>
      <c r="C667">
        <v>-2.5388041362350389E-2</v>
      </c>
      <c r="D667">
        <v>-3.5906791389594732E-2</v>
      </c>
    </row>
    <row r="668" spans="1:4" x14ac:dyDescent="0.2">
      <c r="A668" s="1">
        <v>45741</v>
      </c>
      <c r="B668">
        <v>1.3594092097163191E-2</v>
      </c>
      <c r="C668">
        <v>-2.5402873448148497E-2</v>
      </c>
      <c r="D668">
        <v>-3.5927768691586009E-2</v>
      </c>
    </row>
    <row r="669" spans="1:4" x14ac:dyDescent="0.2">
      <c r="A669" s="1">
        <v>45742</v>
      </c>
      <c r="B669">
        <v>-9.9741663109444052E-3</v>
      </c>
      <c r="C669">
        <v>-2.5416085694291612E-2</v>
      </c>
      <c r="D669">
        <v>-3.5946455023441147E-2</v>
      </c>
    </row>
    <row r="670" spans="1:4" x14ac:dyDescent="0.2">
      <c r="A670" s="1">
        <v>45743</v>
      </c>
      <c r="B670">
        <v>1.0418452196019974E-2</v>
      </c>
      <c r="C670">
        <v>-2.5349901696196362E-2</v>
      </c>
      <c r="D670">
        <v>-3.5852849731917574E-2</v>
      </c>
    </row>
    <row r="671" spans="1:4" x14ac:dyDescent="0.2">
      <c r="A671" s="1">
        <v>45744</v>
      </c>
      <c r="B671">
        <v>-2.6943673799748047E-2</v>
      </c>
      <c r="C671">
        <v>-2.5488040377269996E-2</v>
      </c>
      <c r="D671">
        <v>-3.6048221904719388E-2</v>
      </c>
    </row>
    <row r="672" spans="1:4" x14ac:dyDescent="0.2">
      <c r="A672" s="1">
        <v>45747</v>
      </c>
      <c r="B672">
        <v>1.9228201279227683E-2</v>
      </c>
      <c r="C672">
        <v>-2.5539246182157086E-2</v>
      </c>
      <c r="D672">
        <v>-3.6120643251753411E-2</v>
      </c>
    </row>
    <row r="673" spans="1:4" x14ac:dyDescent="0.2">
      <c r="A673" s="1">
        <v>45748</v>
      </c>
      <c r="B673">
        <v>4.7588314091391391E-3</v>
      </c>
      <c r="C673">
        <v>-2.5527980939965451E-2</v>
      </c>
      <c r="D673">
        <v>-3.6104710604742359E-2</v>
      </c>
    </row>
    <row r="674" spans="1:4" x14ac:dyDescent="0.2">
      <c r="A674" s="1">
        <v>45749</v>
      </c>
      <c r="B674">
        <v>3.1360945863066199E-3</v>
      </c>
      <c r="C674">
        <v>-2.5525991223698852E-2</v>
      </c>
      <c r="D674">
        <v>-3.6101896511055907E-2</v>
      </c>
    </row>
    <row r="675" spans="1:4" x14ac:dyDescent="0.2">
      <c r="A675" s="1">
        <v>45750</v>
      </c>
      <c r="B675">
        <v>-9.7012245209334852E-2</v>
      </c>
      <c r="C675">
        <v>-2.7485727988260308E-2</v>
      </c>
      <c r="D675">
        <v>-3.8873589615667774E-2</v>
      </c>
    </row>
    <row r="676" spans="1:4" x14ac:dyDescent="0.2">
      <c r="A676" s="1">
        <v>45751</v>
      </c>
      <c r="B676">
        <v>-7.5686774148750954E-2</v>
      </c>
      <c r="C676">
        <v>-2.8610046254077221E-2</v>
      </c>
      <c r="D676">
        <v>-4.0463734394857682E-2</v>
      </c>
    </row>
    <row r="677" spans="1:4" x14ac:dyDescent="0.2">
      <c r="A677" s="1">
        <v>45754</v>
      </c>
      <c r="B677">
        <v>-3.7420689911293221E-2</v>
      </c>
      <c r="C677">
        <v>-2.8870702080251803E-2</v>
      </c>
      <c r="D677">
        <v>-4.083238490402271E-2</v>
      </c>
    </row>
    <row r="678" spans="1:4" x14ac:dyDescent="0.2">
      <c r="A678" s="1">
        <v>45755</v>
      </c>
      <c r="B678">
        <v>-5.1108913112184601E-2</v>
      </c>
      <c r="C678">
        <v>-2.9352805159094754E-2</v>
      </c>
      <c r="D678">
        <v>-4.1514232488608985E-2</v>
      </c>
    </row>
    <row r="679" spans="1:4" x14ac:dyDescent="0.2">
      <c r="A679" s="1">
        <v>45756</v>
      </c>
      <c r="B679">
        <v>0.14262656840182664</v>
      </c>
      <c r="C679">
        <v>-3.286256559039967E-2</v>
      </c>
      <c r="D679">
        <v>-4.6478153644858931E-2</v>
      </c>
    </row>
    <row r="680" spans="1:4" x14ac:dyDescent="0.2">
      <c r="A680" s="1">
        <v>45757</v>
      </c>
      <c r="B680">
        <v>-4.3321479046738082E-2</v>
      </c>
      <c r="C680">
        <v>-3.2890971324513088E-2</v>
      </c>
      <c r="D680">
        <v>-4.6518328416694274E-2</v>
      </c>
    </row>
    <row r="681" spans="1:4" x14ac:dyDescent="0.2">
      <c r="A681" s="1">
        <v>45758</v>
      </c>
      <c r="B681">
        <v>3.9789783756308504E-2</v>
      </c>
      <c r="C681">
        <v>-3.3135102147194055E-2</v>
      </c>
      <c r="D681">
        <v>-4.6863607298064588E-2</v>
      </c>
    </row>
    <row r="682" spans="1:4" x14ac:dyDescent="0.2">
      <c r="A682" s="1">
        <v>45761</v>
      </c>
      <c r="B682">
        <v>2.1814161028720105E-2</v>
      </c>
      <c r="C682">
        <v>-3.3124863827297728E-2</v>
      </c>
      <c r="D682">
        <v>-4.6849127046852991E-2</v>
      </c>
    </row>
    <row r="683" spans="1:4" x14ac:dyDescent="0.2">
      <c r="A683" s="1">
        <v>45762</v>
      </c>
      <c r="B683">
        <v>-1.8763780498828419E-3</v>
      </c>
      <c r="C683">
        <v>-3.3059951845083292E-2</v>
      </c>
      <c r="D683">
        <v>-4.6757320791664066E-2</v>
      </c>
    </row>
    <row r="684" spans="1:4" x14ac:dyDescent="0.2">
      <c r="A684" s="1">
        <v>45763</v>
      </c>
      <c r="B684">
        <v>-3.9712330178618291E-2</v>
      </c>
      <c r="C684">
        <v>-3.3314004950641588E-2</v>
      </c>
      <c r="D684">
        <v>-4.7116632947058944E-2</v>
      </c>
    </row>
    <row r="685" spans="1:4" x14ac:dyDescent="0.2">
      <c r="A685" s="1">
        <v>45764</v>
      </c>
      <c r="B685">
        <v>1.3852030746099754E-2</v>
      </c>
      <c r="C685">
        <v>-3.3335855423918911E-2</v>
      </c>
      <c r="D685">
        <v>-4.7147536488396966E-2</v>
      </c>
    </row>
    <row r="686" spans="1:4" x14ac:dyDescent="0.2">
      <c r="A686" s="1">
        <v>45768</v>
      </c>
      <c r="B686">
        <v>-1.9586360052650822E-2</v>
      </c>
      <c r="C686">
        <v>-3.3373533009097719E-2</v>
      </c>
      <c r="D686">
        <v>-4.7200824616132779E-2</v>
      </c>
    </row>
    <row r="687" spans="1:4" x14ac:dyDescent="0.2">
      <c r="A687" s="1">
        <v>45769</v>
      </c>
      <c r="B687">
        <v>3.3500579038641246E-2</v>
      </c>
      <c r="C687">
        <v>-3.3544417572167445E-2</v>
      </c>
      <c r="D687">
        <v>-4.7442509914745301E-2</v>
      </c>
    </row>
    <row r="688" spans="1:4" x14ac:dyDescent="0.2">
      <c r="A688" s="1">
        <v>45770</v>
      </c>
      <c r="B688">
        <v>2.403589271740848E-2</v>
      </c>
      <c r="C688">
        <v>-3.3626758401508035E-2</v>
      </c>
      <c r="D688">
        <v>-4.7558966121026863E-2</v>
      </c>
    </row>
    <row r="689" spans="1:4" x14ac:dyDescent="0.2">
      <c r="A689" s="1">
        <v>45771</v>
      </c>
      <c r="B689">
        <v>1.8265148066704456E-2</v>
      </c>
      <c r="C689">
        <v>-3.3653341454260736E-2</v>
      </c>
      <c r="D689">
        <v>-4.7596563039830751E-2</v>
      </c>
    </row>
    <row r="690" spans="1:4" x14ac:dyDescent="0.2">
      <c r="A690" s="1">
        <v>45772</v>
      </c>
      <c r="B690">
        <v>4.3574730234427188E-3</v>
      </c>
      <c r="C690">
        <v>-3.3652358735652761E-2</v>
      </c>
      <c r="D690">
        <v>-4.7595173162149854E-2</v>
      </c>
    </row>
    <row r="691" spans="1:4" x14ac:dyDescent="0.2">
      <c r="A691" s="1">
        <v>45775</v>
      </c>
      <c r="B691">
        <v>4.0996226000586085E-3</v>
      </c>
      <c r="C691">
        <v>-3.3650983007046879E-2</v>
      </c>
      <c r="D691">
        <v>-4.7593227442928931E-2</v>
      </c>
    </row>
    <row r="692" spans="1:4" x14ac:dyDescent="0.2">
      <c r="A692" s="1">
        <v>45776</v>
      </c>
      <c r="B692">
        <v>5.0772299256529492E-3</v>
      </c>
      <c r="C692">
        <v>-3.3563383075014531E-2</v>
      </c>
      <c r="D692">
        <v>-4.7469333187348715E-2</v>
      </c>
    </row>
    <row r="693" spans="1:4" x14ac:dyDescent="0.2">
      <c r="A693" s="1">
        <v>45777</v>
      </c>
      <c r="B693">
        <v>6.0919284522071388E-3</v>
      </c>
      <c r="C693">
        <v>-3.3507494996439999E-2</v>
      </c>
      <c r="D693">
        <v>-4.7390289611284712E-2</v>
      </c>
    </row>
    <row r="694" spans="1:4" x14ac:dyDescent="0.2">
      <c r="A694" s="1">
        <v>45778</v>
      </c>
      <c r="B694">
        <v>3.8493155565529178E-3</v>
      </c>
      <c r="C694">
        <v>-3.3500972186295462E-2</v>
      </c>
      <c r="D694">
        <v>-4.7381064276419721E-2</v>
      </c>
    </row>
    <row r="695" spans="1:4" x14ac:dyDescent="0.2">
      <c r="A695" s="1">
        <v>45779</v>
      </c>
      <c r="B695">
        <v>-3.8070683052346281E-2</v>
      </c>
      <c r="C695">
        <v>-3.367451438412554E-2</v>
      </c>
      <c r="D695">
        <v>-4.7626508318590596E-2</v>
      </c>
    </row>
    <row r="696" spans="1:4" x14ac:dyDescent="0.2">
      <c r="A696" s="1">
        <v>45782</v>
      </c>
      <c r="B696">
        <v>-3.1963922490955789E-2</v>
      </c>
      <c r="C696">
        <v>-3.3308129979282362E-2</v>
      </c>
      <c r="D696">
        <v>-4.7108323862951003E-2</v>
      </c>
    </row>
    <row r="697" spans="1:4" x14ac:dyDescent="0.2">
      <c r="A697" s="1">
        <v>45783</v>
      </c>
      <c r="B697">
        <v>-1.9207640434543466E-3</v>
      </c>
      <c r="C697">
        <v>-3.3294232156949453E-2</v>
      </c>
      <c r="D697">
        <v>-4.7088667907607504E-2</v>
      </c>
    </row>
    <row r="698" spans="1:4" x14ac:dyDescent="0.2">
      <c r="A698" s="1">
        <v>45784</v>
      </c>
      <c r="B698">
        <v>-1.1449166652691998E-2</v>
      </c>
      <c r="C698">
        <v>-3.3314977490136739E-2</v>
      </c>
      <c r="D698">
        <v>-4.7118008428226318E-2</v>
      </c>
    </row>
    <row r="699" spans="1:4" x14ac:dyDescent="0.2">
      <c r="A699" s="1">
        <v>45785</v>
      </c>
      <c r="B699">
        <v>6.2954573658574797E-3</v>
      </c>
      <c r="C699">
        <v>-3.3320408253873959E-2</v>
      </c>
      <c r="D699">
        <v>-4.7125689261017449E-2</v>
      </c>
    </row>
    <row r="700" spans="1:4" x14ac:dyDescent="0.2">
      <c r="A700" s="1">
        <v>45786</v>
      </c>
      <c r="B700">
        <v>5.2548941618059111E-3</v>
      </c>
      <c r="C700">
        <v>-3.3309202420760992E-2</v>
      </c>
      <c r="D700">
        <v>-4.7109840637400091E-2</v>
      </c>
    </row>
    <row r="701" spans="1:4" x14ac:dyDescent="0.2">
      <c r="A701" s="1">
        <v>45789</v>
      </c>
      <c r="B701">
        <v>6.1232705781696525E-2</v>
      </c>
      <c r="C701">
        <v>-3.3897794421415099E-2</v>
      </c>
      <c r="D701">
        <v>-4.7942297536277399E-2</v>
      </c>
    </row>
    <row r="702" spans="1:4" x14ac:dyDescent="0.2">
      <c r="A702" s="1">
        <v>45790</v>
      </c>
      <c r="B702">
        <v>1.0103439368538285E-2</v>
      </c>
      <c r="C702">
        <v>-3.3866367890121332E-2</v>
      </c>
      <c r="D702">
        <v>-4.7897850393342725E-2</v>
      </c>
    </row>
    <row r="703" spans="1:4" x14ac:dyDescent="0.2">
      <c r="A703" s="1">
        <v>45791</v>
      </c>
      <c r="B703">
        <v>-2.8209561835192357E-3</v>
      </c>
      <c r="C703">
        <v>-3.3863121584932036E-2</v>
      </c>
      <c r="D703">
        <v>-4.7893259081962881E-2</v>
      </c>
    </row>
    <row r="704" spans="1:4" x14ac:dyDescent="0.2">
      <c r="A704" s="1">
        <v>45792</v>
      </c>
      <c r="B704">
        <v>-4.1562780249092138E-3</v>
      </c>
      <c r="C704">
        <v>-3.3844773478894037E-2</v>
      </c>
      <c r="D704">
        <v>-4.7867309005448604E-2</v>
      </c>
    </row>
    <row r="705" spans="1:4" x14ac:dyDescent="0.2">
      <c r="A705" s="1">
        <v>45793</v>
      </c>
      <c r="B705">
        <v>-8.9220465878445099E-4</v>
      </c>
      <c r="C705">
        <v>-3.3845056715785048E-2</v>
      </c>
      <c r="D705">
        <v>-4.7867709592788694E-2</v>
      </c>
    </row>
    <row r="706" spans="1:4" x14ac:dyDescent="0.2">
      <c r="A706" s="1">
        <v>45796</v>
      </c>
      <c r="B706">
        <v>-1.1815805406995545E-2</v>
      </c>
      <c r="C706">
        <v>-3.3869078153602107E-2</v>
      </c>
      <c r="D706">
        <v>-4.7901683570704699E-2</v>
      </c>
    </row>
    <row r="707" spans="1:4" x14ac:dyDescent="0.2">
      <c r="A707" s="1">
        <v>45797</v>
      </c>
      <c r="B707">
        <v>-9.2380078664240639E-3</v>
      </c>
      <c r="C707">
        <v>-3.3878526864056992E-2</v>
      </c>
      <c r="D707">
        <v>-4.7915047062214819E-2</v>
      </c>
    </row>
    <row r="708" spans="1:4" x14ac:dyDescent="0.2">
      <c r="A708" s="1">
        <v>45798</v>
      </c>
      <c r="B708">
        <v>-2.3326517727802514E-2</v>
      </c>
      <c r="C708">
        <v>-3.3960869509680545E-2</v>
      </c>
      <c r="D708">
        <v>-4.8031505837300044E-2</v>
      </c>
    </row>
    <row r="709" spans="1:4" x14ac:dyDescent="0.2">
      <c r="A709" s="1">
        <v>45799</v>
      </c>
      <c r="B709">
        <v>-3.6198594568147015E-3</v>
      </c>
      <c r="C709">
        <v>-3.3953520459420745E-2</v>
      </c>
      <c r="D709">
        <v>-4.8021111935272545E-2</v>
      </c>
    </row>
    <row r="710" spans="1:4" x14ac:dyDescent="0.2">
      <c r="A710" s="1">
        <v>45800</v>
      </c>
      <c r="B710">
        <v>-3.0708459850885432E-2</v>
      </c>
      <c r="C710">
        <v>-3.4032450648237407E-2</v>
      </c>
      <c r="D710">
        <v>-4.813274440757441E-2</v>
      </c>
    </row>
    <row r="711" spans="1:4" x14ac:dyDescent="0.2">
      <c r="A711" s="1">
        <v>45804</v>
      </c>
      <c r="B711">
        <v>2.4978472223714604E-2</v>
      </c>
      <c r="C711">
        <v>-3.4088199329418048E-2</v>
      </c>
      <c r="D711">
        <v>-4.8211590831244051E-2</v>
      </c>
    </row>
    <row r="712" spans="1:4" x14ac:dyDescent="0.2">
      <c r="A712" s="1">
        <v>45805</v>
      </c>
      <c r="B712">
        <v>1.051540603736635E-3</v>
      </c>
      <c r="C712">
        <v>-3.4088301765698187E-2</v>
      </c>
      <c r="D712">
        <v>-4.8211735708829889E-2</v>
      </c>
    </row>
    <row r="713" spans="1:4" x14ac:dyDescent="0.2">
      <c r="A713" s="1">
        <v>45806</v>
      </c>
      <c r="B713">
        <v>-2.3499653810241695E-3</v>
      </c>
      <c r="C713">
        <v>-3.4089067899806522E-2</v>
      </c>
      <c r="D713">
        <v>-4.8212819266919768E-2</v>
      </c>
    </row>
    <row r="714" spans="1:4" x14ac:dyDescent="0.2">
      <c r="A714" s="1">
        <v>45807</v>
      </c>
      <c r="B714">
        <v>4.4946820282842194E-3</v>
      </c>
      <c r="C714">
        <v>-3.4087963223848258E-2</v>
      </c>
      <c r="D714">
        <v>-4.8211256902630992E-2</v>
      </c>
    </row>
    <row r="715" spans="1:4" x14ac:dyDescent="0.2">
      <c r="A715" s="1">
        <v>45810</v>
      </c>
      <c r="B715">
        <v>4.2209820748611085E-3</v>
      </c>
      <c r="C715">
        <v>-3.4086858888601815E-2</v>
      </c>
      <c r="D715">
        <v>-4.820969502021745E-2</v>
      </c>
    </row>
    <row r="716" spans="1:4" x14ac:dyDescent="0.2">
      <c r="A716" s="1">
        <v>45811</v>
      </c>
      <c r="B716">
        <v>7.752533620641015E-3</v>
      </c>
      <c r="C716">
        <v>-3.4082987201659767E-2</v>
      </c>
      <c r="D716">
        <v>-4.8204219219490259E-2</v>
      </c>
    </row>
    <row r="717" spans="1:4" x14ac:dyDescent="0.2">
      <c r="A717" s="1">
        <v>45812</v>
      </c>
      <c r="B717">
        <v>-2.2131225410159942E-3</v>
      </c>
      <c r="C717">
        <v>-3.4083576487188322E-2</v>
      </c>
      <c r="D717">
        <v>-4.8205052657258878E-2</v>
      </c>
    </row>
    <row r="718" spans="1:4" x14ac:dyDescent="0.2">
      <c r="A718" s="1">
        <v>45813</v>
      </c>
      <c r="B718">
        <v>-1.085467377424609E-2</v>
      </c>
      <c r="C718">
        <v>-3.4093601982113149E-2</v>
      </c>
      <c r="D718">
        <v>-4.8219231906051853E-2</v>
      </c>
    </row>
    <row r="719" spans="1:4" x14ac:dyDescent="0.2">
      <c r="A719" s="1">
        <v>45814</v>
      </c>
      <c r="B719">
        <v>1.6265197765738839E-2</v>
      </c>
      <c r="C719">
        <v>-3.4126473153173228E-2</v>
      </c>
      <c r="D719">
        <v>-4.8265722230576708E-2</v>
      </c>
    </row>
    <row r="720" spans="1:4" x14ac:dyDescent="0.2">
      <c r="A720" s="1">
        <v>45817</v>
      </c>
      <c r="B720">
        <v>-1.2188966197941313E-2</v>
      </c>
      <c r="C720">
        <v>-3.4127250624322848E-2</v>
      </c>
      <c r="D720">
        <v>-4.8266821822860434E-2</v>
      </c>
    </row>
    <row r="721" spans="1:4" x14ac:dyDescent="0.2">
      <c r="A721" s="1">
        <v>45818</v>
      </c>
      <c r="B721">
        <v>6.0363455019323935E-3</v>
      </c>
      <c r="C721">
        <v>-3.4072236935135496E-2</v>
      </c>
      <c r="D721">
        <v>-4.8189014912393059E-2</v>
      </c>
    </row>
    <row r="722" spans="1:4" x14ac:dyDescent="0.2">
      <c r="A722" s="1">
        <v>45819</v>
      </c>
      <c r="B722">
        <v>-1.9374320824084745E-2</v>
      </c>
      <c r="C722">
        <v>-3.334074760089601E-2</v>
      </c>
      <c r="D722">
        <v>-4.7154455587655172E-2</v>
      </c>
    </row>
    <row r="723" spans="1:4" x14ac:dyDescent="0.2">
      <c r="A723" s="1">
        <v>45820</v>
      </c>
      <c r="B723">
        <v>2.1019583163846231E-3</v>
      </c>
      <c r="C723">
        <v>-3.3210175195688724E-2</v>
      </c>
      <c r="D723">
        <v>-4.6969784543201602E-2</v>
      </c>
    </row>
    <row r="724" spans="1:4" x14ac:dyDescent="0.2">
      <c r="A724" s="1">
        <v>45821</v>
      </c>
      <c r="B724">
        <v>-1.3898091363512876E-2</v>
      </c>
      <c r="C724">
        <v>-3.3235042368216734E-2</v>
      </c>
      <c r="D724">
        <v>-4.7004954659858829E-2</v>
      </c>
    </row>
    <row r="725" spans="1:4" x14ac:dyDescent="0.2">
      <c r="A725" s="1">
        <v>45824</v>
      </c>
      <c r="B725">
        <v>9.9779323623961844E-3</v>
      </c>
      <c r="C725">
        <v>-3.3242060280206071E-2</v>
      </c>
      <c r="D725">
        <v>-4.7014880226711159E-2</v>
      </c>
    </row>
    <row r="726" spans="1:4" x14ac:dyDescent="0.2">
      <c r="A726" s="1">
        <v>45825</v>
      </c>
      <c r="B726">
        <v>-1.4111987879174314E-2</v>
      </c>
      <c r="C726">
        <v>-3.3208995571819423E-2</v>
      </c>
      <c r="D726">
        <v>-4.6968116178651986E-2</v>
      </c>
    </row>
    <row r="727" spans="1:4" x14ac:dyDescent="0.2">
      <c r="A727" s="1">
        <v>45826</v>
      </c>
      <c r="B727">
        <v>4.7975950651106452E-3</v>
      </c>
      <c r="C727">
        <v>-3.3194635247082112E-2</v>
      </c>
      <c r="D727">
        <v>-4.6947806097331804E-2</v>
      </c>
    </row>
    <row r="728" spans="1:4" x14ac:dyDescent="0.2">
      <c r="A728" s="1">
        <v>45828</v>
      </c>
      <c r="B728">
        <v>2.2232444520722885E-2</v>
      </c>
      <c r="C728">
        <v>-3.3201542759048602E-2</v>
      </c>
      <c r="D728">
        <v>-4.695757552332501E-2</v>
      </c>
    </row>
    <row r="729" spans="1:4" x14ac:dyDescent="0.2">
      <c r="A729" s="1">
        <v>45831</v>
      </c>
      <c r="B729">
        <v>2.4870489470421213E-3</v>
      </c>
      <c r="C729">
        <v>-3.3185044447817093E-2</v>
      </c>
      <c r="D729">
        <v>-4.6934241646905975E-2</v>
      </c>
    </row>
    <row r="730" spans="1:4" x14ac:dyDescent="0.2">
      <c r="A730" s="1">
        <v>45832</v>
      </c>
      <c r="B730">
        <v>-5.9763371838871746E-3</v>
      </c>
      <c r="C730">
        <v>-3.3188936871299271E-2</v>
      </c>
      <c r="D730">
        <v>-4.6939746775717592E-2</v>
      </c>
    </row>
    <row r="731" spans="1:4" x14ac:dyDescent="0.2">
      <c r="A731" s="1">
        <v>45833</v>
      </c>
      <c r="B731">
        <v>6.2749649913414491E-3</v>
      </c>
      <c r="C731">
        <v>-3.3192213031124684E-2</v>
      </c>
      <c r="D731">
        <v>-4.6944380311079038E-2</v>
      </c>
    </row>
    <row r="732" spans="1:4" x14ac:dyDescent="0.2">
      <c r="A732" s="1">
        <v>45834</v>
      </c>
      <c r="B732">
        <v>-2.7856767544963516E-3</v>
      </c>
      <c r="C732">
        <v>-3.312799823459691E-2</v>
      </c>
      <c r="D732">
        <v>-4.6853560098911451E-2</v>
      </c>
    </row>
    <row r="733" spans="1:4" x14ac:dyDescent="0.2">
      <c r="A733" s="1">
        <v>45835</v>
      </c>
      <c r="B733">
        <v>3.9415356034302172E-4</v>
      </c>
      <c r="C733">
        <v>-3.3125166886172112E-2</v>
      </c>
      <c r="D733">
        <v>-4.6849555668802431E-2</v>
      </c>
    </row>
    <row r="734" spans="1:4" x14ac:dyDescent="0.2">
      <c r="A734" s="1">
        <v>45838</v>
      </c>
      <c r="B734">
        <v>2.0143045440712673E-2</v>
      </c>
      <c r="C734">
        <v>-3.3149547564858398E-2</v>
      </c>
      <c r="D734">
        <v>-4.6884037727935333E-2</v>
      </c>
    </row>
    <row r="735" spans="1:4" x14ac:dyDescent="0.2">
      <c r="A735" s="1">
        <v>45839</v>
      </c>
      <c r="B735">
        <v>1.2828753405870429E-2</v>
      </c>
      <c r="C735">
        <v>-3.3040834582927697E-2</v>
      </c>
      <c r="D735">
        <v>-4.6730282882974539E-2</v>
      </c>
    </row>
    <row r="736" spans="1:4" x14ac:dyDescent="0.2">
      <c r="A736" s="1">
        <v>45840</v>
      </c>
      <c r="B736">
        <v>2.1987405539091748E-2</v>
      </c>
      <c r="C736">
        <v>-3.3077899783035228E-2</v>
      </c>
      <c r="D736">
        <v>-4.6782704902817648E-2</v>
      </c>
    </row>
    <row r="737" spans="1:4" x14ac:dyDescent="0.2">
      <c r="A737" s="1">
        <v>45841</v>
      </c>
      <c r="B737">
        <v>5.2131402249676502E-3</v>
      </c>
      <c r="C737">
        <v>-3.3076808702355409E-2</v>
      </c>
      <c r="D737">
        <v>-4.6781161766590619E-2</v>
      </c>
    </row>
    <row r="738" spans="1:4" x14ac:dyDescent="0.2">
      <c r="A738" s="1">
        <v>45845</v>
      </c>
      <c r="B738">
        <v>-1.7001226612699996E-2</v>
      </c>
      <c r="C738">
        <v>-3.3046508303807377E-2</v>
      </c>
      <c r="D738">
        <v>-4.6738307334688707E-2</v>
      </c>
    </row>
    <row r="739" spans="1:4" x14ac:dyDescent="0.2">
      <c r="A739" s="1">
        <v>45846</v>
      </c>
      <c r="B739">
        <v>2.8661097056380616E-4</v>
      </c>
      <c r="C739">
        <v>-3.3038940618445811E-2</v>
      </c>
      <c r="D739">
        <v>-4.6727604212864475E-2</v>
      </c>
    </row>
    <row r="740" spans="1:4" x14ac:dyDescent="0.2">
      <c r="A740" s="1">
        <v>45847</v>
      </c>
      <c r="B740">
        <v>5.3683028275342357E-3</v>
      </c>
      <c r="C740">
        <v>-3.3041501318658358E-2</v>
      </c>
      <c r="D740">
        <v>-4.6731225860042011E-2</v>
      </c>
    </row>
    <row r="741" spans="1:4" x14ac:dyDescent="0.2">
      <c r="A741" s="1">
        <v>45848</v>
      </c>
      <c r="B741">
        <v>5.9962383579875902E-3</v>
      </c>
      <c r="C741">
        <v>-3.2988956888257537E-2</v>
      </c>
      <c r="D741">
        <v>-4.6656911269398353E-2</v>
      </c>
    </row>
    <row r="742" spans="1:4" x14ac:dyDescent="0.2">
      <c r="A742" s="1">
        <v>45849</v>
      </c>
      <c r="B742">
        <v>-5.9012309948453358E-3</v>
      </c>
      <c r="C742">
        <v>-3.2905493157094234E-2</v>
      </c>
      <c r="D742">
        <v>-4.653886692164011E-2</v>
      </c>
    </row>
    <row r="743" spans="1:4" x14ac:dyDescent="0.2">
      <c r="A743" s="1">
        <v>45852</v>
      </c>
      <c r="B743">
        <v>-1.2105082737466735E-2</v>
      </c>
      <c r="C743">
        <v>-3.289921116411073E-2</v>
      </c>
      <c r="D743">
        <v>-4.6529982179081587E-2</v>
      </c>
    </row>
    <row r="744" spans="1:4" x14ac:dyDescent="0.2">
      <c r="A744" s="1">
        <v>45853</v>
      </c>
      <c r="B744">
        <v>2.3483489516511204E-3</v>
      </c>
      <c r="C744">
        <v>-3.285261516355116E-2</v>
      </c>
      <c r="D744">
        <v>-4.6464080566278841E-2</v>
      </c>
    </row>
    <row r="745" spans="1:4" x14ac:dyDescent="0.2">
      <c r="A745" s="1">
        <v>45854</v>
      </c>
      <c r="B745">
        <v>5.0095918393392863E-3</v>
      </c>
      <c r="C745">
        <v>-3.2856690708902979E-2</v>
      </c>
      <c r="D745">
        <v>-4.6469844687845284E-2</v>
      </c>
    </row>
    <row r="746" spans="1:4" x14ac:dyDescent="0.2">
      <c r="A746" s="1">
        <v>45855</v>
      </c>
      <c r="B746">
        <v>-6.684077344907655E-4</v>
      </c>
      <c r="C746">
        <v>-3.2751089498477298E-2</v>
      </c>
      <c r="D746">
        <v>-4.6320490880707305E-2</v>
      </c>
    </row>
    <row r="747" spans="1:4" x14ac:dyDescent="0.2">
      <c r="A747" s="1">
        <v>45856</v>
      </c>
      <c r="B747">
        <v>5.510548018567504E-3</v>
      </c>
      <c r="C747">
        <v>-3.2687025485474738E-2</v>
      </c>
      <c r="D747">
        <v>-4.6229883924556896E-2</v>
      </c>
    </row>
    <row r="748" spans="1:4" x14ac:dyDescent="0.2">
      <c r="A748" s="1">
        <v>45859</v>
      </c>
      <c r="B748">
        <v>6.1320109278828888E-3</v>
      </c>
      <c r="C748">
        <v>-3.2693603496808249E-2</v>
      </c>
      <c r="D748">
        <v>-4.6239187331516877E-2</v>
      </c>
    </row>
    <row r="749" spans="1:4" x14ac:dyDescent="0.2">
      <c r="A749" s="1">
        <v>45860</v>
      </c>
      <c r="B749">
        <v>8.999438065807934E-3</v>
      </c>
      <c r="C749">
        <v>-3.2707273478625662E-2</v>
      </c>
      <c r="D749">
        <v>-4.6258521047671343E-2</v>
      </c>
    </row>
    <row r="750" spans="1:4" x14ac:dyDescent="0.2">
      <c r="A750" s="1">
        <v>45861</v>
      </c>
      <c r="B750">
        <v>-1.1702751481903206E-3</v>
      </c>
      <c r="C750">
        <v>-3.2703548112005876E-2</v>
      </c>
      <c r="D750">
        <v>-4.6253252190568216E-2</v>
      </c>
    </row>
    <row r="751" spans="1:4" x14ac:dyDescent="0.2">
      <c r="A751" s="1">
        <v>45862</v>
      </c>
      <c r="B751">
        <v>-1.8189835587435314E-3</v>
      </c>
      <c r="C751">
        <v>-3.2563579770818633E-2</v>
      </c>
      <c r="D751">
        <v>-4.6055292294551541E-2</v>
      </c>
    </row>
    <row r="752" spans="1:4" x14ac:dyDescent="0.2">
      <c r="A752" s="1">
        <v>45863</v>
      </c>
      <c r="B752">
        <v>5.582359888180251E-4</v>
      </c>
      <c r="C752">
        <v>-3.2559874471883979E-2</v>
      </c>
      <c r="D752">
        <v>-4.605005181955845E-2</v>
      </c>
    </row>
    <row r="753" spans="1:4" x14ac:dyDescent="0.2">
      <c r="A753" s="1">
        <v>45866</v>
      </c>
      <c r="B753">
        <v>7.922537688992362E-4</v>
      </c>
      <c r="C753">
        <v>-3.255917972913723E-2</v>
      </c>
      <c r="D753">
        <v>-4.6049069231633662E-2</v>
      </c>
    </row>
    <row r="754" spans="1:4" x14ac:dyDescent="0.2">
      <c r="A754" s="1">
        <v>45867</v>
      </c>
      <c r="B754">
        <v>-1.3070046843432671E-2</v>
      </c>
      <c r="C754">
        <v>-3.2587003585092228E-2</v>
      </c>
      <c r="D754">
        <v>-4.6088421042085326E-2</v>
      </c>
    </row>
    <row r="755" spans="1:4" x14ac:dyDescent="0.2">
      <c r="A755" s="1">
        <v>45868</v>
      </c>
      <c r="B755">
        <v>-1.0562209660229398E-2</v>
      </c>
      <c r="C755">
        <v>-3.2603904880035756E-2</v>
      </c>
      <c r="D755">
        <v>-4.6112324866058568E-2</v>
      </c>
    </row>
    <row r="756" spans="1:4" x14ac:dyDescent="0.2">
      <c r="A756" s="1">
        <v>45869</v>
      </c>
      <c r="B756">
        <v>-7.107186187186431E-3</v>
      </c>
      <c r="C756">
        <v>-3.2573889803529238E-2</v>
      </c>
      <c r="D756">
        <v>-4.6069873970564897E-2</v>
      </c>
    </row>
    <row r="757" spans="1:4" x14ac:dyDescent="0.2">
      <c r="A757" s="1">
        <v>45870</v>
      </c>
      <c r="B757">
        <v>-2.5320286099435509E-2</v>
      </c>
      <c r="C757">
        <v>-3.2632453984532274E-2</v>
      </c>
      <c r="D757">
        <v>-4.6152702409362742E-2</v>
      </c>
    </row>
    <row r="758" spans="1:4" x14ac:dyDescent="0.2">
      <c r="A758" s="1">
        <v>45873</v>
      </c>
      <c r="B758">
        <v>4.7762996922058104E-3</v>
      </c>
      <c r="C758">
        <v>-3.2628255080532124E-2</v>
      </c>
      <c r="D758">
        <v>-4.6146763819305853E-2</v>
      </c>
    </row>
    <row r="759" spans="1:4" x14ac:dyDescent="0.2">
      <c r="A759" s="1">
        <v>45874</v>
      </c>
      <c r="B759">
        <v>-2.1084501326440984E-3</v>
      </c>
      <c r="C759">
        <v>-3.2223909999446659E-2</v>
      </c>
      <c r="D759">
        <v>-4.557489085483702E-2</v>
      </c>
    </row>
    <row r="760" spans="1:4" x14ac:dyDescent="0.2">
      <c r="A760" s="1">
        <v>45875</v>
      </c>
      <c r="B760">
        <v>4.9650117177942869E-2</v>
      </c>
      <c r="C760">
        <v>-3.2620603935214827E-2</v>
      </c>
      <c r="D760">
        <v>-4.6135942658473532E-2</v>
      </c>
    </row>
    <row r="761" spans="1:4" x14ac:dyDescent="0.2">
      <c r="A761" s="1">
        <v>45876</v>
      </c>
      <c r="B761">
        <v>3.1301315054409647E-2</v>
      </c>
      <c r="C761">
        <v>-3.2756749717019924E-2</v>
      </c>
      <c r="D761">
        <v>-4.6328496235808501E-2</v>
      </c>
    </row>
    <row r="762" spans="1:4" x14ac:dyDescent="0.2">
      <c r="A762" s="1">
        <v>45877</v>
      </c>
      <c r="B762">
        <v>4.1482052068205252E-2</v>
      </c>
      <c r="C762">
        <v>-3.2993985894421277E-2</v>
      </c>
      <c r="D762">
        <v>-4.6664023888786405E-2</v>
      </c>
    </row>
    <row r="763" spans="1:4" x14ac:dyDescent="0.2">
      <c r="A763" s="1">
        <v>45880</v>
      </c>
      <c r="B763">
        <v>-8.3706752678006386E-3</v>
      </c>
      <c r="C763">
        <v>-3.29767815467992E-2</v>
      </c>
      <c r="D763">
        <v>-4.6639691451626594E-2</v>
      </c>
    </row>
    <row r="764" spans="1:4" x14ac:dyDescent="0.2">
      <c r="A764" s="1">
        <v>45881</v>
      </c>
      <c r="B764">
        <v>1.0816796329898818E-2</v>
      </c>
      <c r="C764">
        <v>-3.2987470975481575E-2</v>
      </c>
      <c r="D764">
        <v>-4.6654809714603007E-2</v>
      </c>
    </row>
    <row r="765" spans="1:4" x14ac:dyDescent="0.2">
      <c r="A765" s="1">
        <v>45882</v>
      </c>
      <c r="B765">
        <v>1.589299844803696E-2</v>
      </c>
      <c r="C765">
        <v>-3.2981288668615466E-2</v>
      </c>
      <c r="D765">
        <v>-4.6646065960022673E-2</v>
      </c>
    </row>
    <row r="766" spans="1:4" x14ac:dyDescent="0.2">
      <c r="A766" s="1">
        <v>45883</v>
      </c>
      <c r="B766">
        <v>-2.3558554737179551E-3</v>
      </c>
      <c r="C766">
        <v>-3.29818441503738E-2</v>
      </c>
      <c r="D766">
        <v>-4.6646851588473974E-2</v>
      </c>
    </row>
    <row r="767" spans="1:4" x14ac:dyDescent="0.2">
      <c r="A767" s="1">
        <v>45884</v>
      </c>
      <c r="B767">
        <v>-5.1263575396708321E-3</v>
      </c>
      <c r="C767">
        <v>-3.2957515808475911E-2</v>
      </c>
      <c r="D767">
        <v>-4.6612443550259668E-2</v>
      </c>
    </row>
    <row r="768" spans="1:4" x14ac:dyDescent="0.2">
      <c r="A768" s="1">
        <v>45887</v>
      </c>
      <c r="B768">
        <v>-3.0329312677172403E-3</v>
      </c>
      <c r="C768">
        <v>-3.2953625786035529E-2</v>
      </c>
      <c r="D768">
        <v>-4.6606941817287278E-2</v>
      </c>
    </row>
    <row r="769" spans="1:4" x14ac:dyDescent="0.2">
      <c r="A769" s="1">
        <v>45888</v>
      </c>
      <c r="B769">
        <v>-1.4243160915142653E-3</v>
      </c>
      <c r="C769">
        <v>-3.2953900394269771E-2</v>
      </c>
      <c r="D769">
        <v>-4.660733020095343E-2</v>
      </c>
    </row>
    <row r="770" spans="1:4" x14ac:dyDescent="0.2">
      <c r="A770" s="1">
        <v>45889</v>
      </c>
      <c r="B770">
        <v>-1.993473986323218E-2</v>
      </c>
      <c r="C770">
        <v>-3.3018524920119412E-2</v>
      </c>
      <c r="D770">
        <v>-4.6698729901119965E-2</v>
      </c>
    </row>
    <row r="771" spans="1:4" x14ac:dyDescent="0.2">
      <c r="A771" s="1">
        <v>45890</v>
      </c>
      <c r="B771">
        <v>-4.9238854114112326E-3</v>
      </c>
      <c r="C771">
        <v>-3.302247648072338E-2</v>
      </c>
      <c r="D771">
        <v>-4.6704318668691479E-2</v>
      </c>
    </row>
    <row r="772" spans="1:4" x14ac:dyDescent="0.2">
      <c r="A772" s="1">
        <v>45891</v>
      </c>
      <c r="B772">
        <v>1.2634132790174129E-2</v>
      </c>
      <c r="C772">
        <v>-3.3037181137649162E-2</v>
      </c>
      <c r="D772">
        <v>-4.6725115745596853E-2</v>
      </c>
    </row>
    <row r="773" spans="1:4" x14ac:dyDescent="0.2">
      <c r="A773" s="1">
        <v>45894</v>
      </c>
      <c r="B773">
        <v>-2.6340494555907247E-3</v>
      </c>
      <c r="C773">
        <v>-3.3021300086614212E-2</v>
      </c>
      <c r="D773">
        <v>-4.6702654872053252E-2</v>
      </c>
    </row>
    <row r="774" spans="1:4" x14ac:dyDescent="0.2">
      <c r="A774" s="1">
        <v>45895</v>
      </c>
      <c r="B774">
        <v>9.4205726530267372E-3</v>
      </c>
      <c r="C774">
        <v>-3.3035426326168384E-2</v>
      </c>
      <c r="D774">
        <v>-4.6722633882231773E-2</v>
      </c>
    </row>
    <row r="775" spans="1:4" x14ac:dyDescent="0.2">
      <c r="A775" s="1">
        <v>45896</v>
      </c>
      <c r="B775">
        <v>5.1337365379429791E-3</v>
      </c>
      <c r="C775">
        <v>-3.3037442270980877E-2</v>
      </c>
      <c r="D775">
        <v>-4.672548507145121E-2</v>
      </c>
    </row>
    <row r="776" spans="1:4" x14ac:dyDescent="0.2">
      <c r="A776" s="1">
        <v>45897</v>
      </c>
      <c r="B776">
        <v>8.9404927263918941E-3</v>
      </c>
      <c r="C776">
        <v>-3.3042564117153048E-2</v>
      </c>
      <c r="D776">
        <v>-4.6732728996234887E-2</v>
      </c>
    </row>
    <row r="777" spans="1:4" x14ac:dyDescent="0.2">
      <c r="A777" s="1">
        <v>45898</v>
      </c>
      <c r="B777">
        <v>-1.8110635027608648E-3</v>
      </c>
      <c r="C777">
        <v>-3.3009205756891487E-2</v>
      </c>
      <c r="D777">
        <v>-4.6685549630725152E-2</v>
      </c>
    </row>
    <row r="778" spans="1:4" x14ac:dyDescent="0.2">
      <c r="A778" s="1">
        <v>45902</v>
      </c>
      <c r="B778">
        <v>-1.047775111704112E-2</v>
      </c>
      <c r="C778">
        <v>-3.3025427379433682E-2</v>
      </c>
      <c r="D778">
        <v>-4.670849218105072E-2</v>
      </c>
    </row>
    <row r="779" spans="1:4" x14ac:dyDescent="0.2">
      <c r="A779" s="1">
        <v>45903</v>
      </c>
      <c r="B779">
        <v>3.7380849870102192E-2</v>
      </c>
      <c r="C779">
        <v>-3.3126559151633005E-2</v>
      </c>
      <c r="D779">
        <v>-4.6851524776412967E-2</v>
      </c>
    </row>
    <row r="780" spans="1:4" x14ac:dyDescent="0.2">
      <c r="A780" s="1">
        <v>45904</v>
      </c>
      <c r="B780">
        <v>5.4803841026139838E-3</v>
      </c>
      <c r="C780">
        <v>-3.3117721287702809E-2</v>
      </c>
      <c r="D780">
        <v>-4.6839025216799765E-2</v>
      </c>
    </row>
    <row r="781" spans="1:4" x14ac:dyDescent="0.2">
      <c r="A781" s="1">
        <v>45905</v>
      </c>
      <c r="B781">
        <v>-3.7612996151375279E-4</v>
      </c>
      <c r="C781">
        <v>-3.3110720181118901E-2</v>
      </c>
      <c r="D781">
        <v>-4.682912341815304E-2</v>
      </c>
    </row>
    <row r="782" spans="1:4" x14ac:dyDescent="0.2">
      <c r="A782" s="1">
        <v>45908</v>
      </c>
      <c r="B782">
        <v>-7.577732825389762E-3</v>
      </c>
      <c r="C782">
        <v>-3.3112064552668574E-2</v>
      </c>
      <c r="D782">
        <v>-4.6831024788490959E-2</v>
      </c>
    </row>
    <row r="783" spans="1:4" x14ac:dyDescent="0.2">
      <c r="A783" s="1">
        <v>45909</v>
      </c>
      <c r="B783">
        <v>-1.4953644849055082E-2</v>
      </c>
      <c r="C783">
        <v>-3.315014355294648E-2</v>
      </c>
      <c r="D783">
        <v>-4.6884880645261799E-2</v>
      </c>
    </row>
    <row r="784" spans="1:4" x14ac:dyDescent="0.2">
      <c r="A784" s="1">
        <v>45910</v>
      </c>
      <c r="B784">
        <v>-3.2792958017271015E-2</v>
      </c>
      <c r="C784">
        <v>-3.332563757405177E-2</v>
      </c>
      <c r="D784">
        <v>-4.7133085188338281E-2</v>
      </c>
    </row>
    <row r="785" spans="1:4" x14ac:dyDescent="0.2">
      <c r="A785" s="1">
        <v>45911</v>
      </c>
      <c r="B785">
        <v>1.4186003880808831E-2</v>
      </c>
      <c r="C785">
        <v>-3.3336694673891117E-2</v>
      </c>
      <c r="D785">
        <v>-4.7148723455648418E-2</v>
      </c>
    </row>
    <row r="786" spans="1:4" x14ac:dyDescent="0.2">
      <c r="A786" s="1">
        <v>45912</v>
      </c>
      <c r="B786">
        <v>1.7409164769937202E-2</v>
      </c>
      <c r="C786">
        <v>-3.33850047308158E-2</v>
      </c>
      <c r="D786">
        <v>-4.7217049291078422E-2</v>
      </c>
    </row>
    <row r="787" spans="1:4" x14ac:dyDescent="0.2">
      <c r="A787" s="1">
        <v>45915</v>
      </c>
      <c r="B787">
        <v>1.1177580971116983E-2</v>
      </c>
      <c r="C787">
        <v>-3.3404119000742305E-2</v>
      </c>
      <c r="D787">
        <v>-4.7244082967801242E-2</v>
      </c>
    </row>
    <row r="788" spans="1:4" x14ac:dyDescent="0.2">
      <c r="A788" s="1">
        <v>45916</v>
      </c>
      <c r="B788">
        <v>6.1061869618729732E-3</v>
      </c>
      <c r="C788">
        <v>-3.3277150607927873E-2</v>
      </c>
      <c r="D788">
        <v>-4.7064509146851792E-2</v>
      </c>
    </row>
    <row r="789" spans="1:4" x14ac:dyDescent="0.2">
      <c r="A789" s="1">
        <v>45917</v>
      </c>
      <c r="B789">
        <v>3.523488998088934E-3</v>
      </c>
      <c r="C789">
        <v>-3.3278228936082684E-2</v>
      </c>
      <c r="D789">
        <v>-4.7066034246939337E-2</v>
      </c>
    </row>
    <row r="790" spans="1:4" x14ac:dyDescent="0.2">
      <c r="A790" s="1">
        <v>45918</v>
      </c>
      <c r="B790">
        <v>-4.655822715498993E-3</v>
      </c>
      <c r="C790">
        <v>-3.3232494604129158E-2</v>
      </c>
      <c r="D790">
        <v>-4.7001351308489703E-2</v>
      </c>
    </row>
    <row r="791" spans="1:4" x14ac:dyDescent="0.2">
      <c r="A791" s="1">
        <v>45919</v>
      </c>
      <c r="B791">
        <v>3.152847573355691E-2</v>
      </c>
      <c r="C791">
        <v>-3.3178987313868369E-2</v>
      </c>
      <c r="D791">
        <v>-4.6925674926771424E-2</v>
      </c>
    </row>
    <row r="792" spans="1:4" x14ac:dyDescent="0.2">
      <c r="A792" s="1">
        <v>45922</v>
      </c>
      <c r="B792">
        <v>4.2193440235018427E-2</v>
      </c>
      <c r="C792">
        <v>-3.3462133958047133E-2</v>
      </c>
      <c r="D792">
        <v>-4.7326134629041637E-2</v>
      </c>
    </row>
    <row r="793" spans="1:4" x14ac:dyDescent="0.2">
      <c r="A793" s="1">
        <v>45923</v>
      </c>
      <c r="B793">
        <v>-6.4646895957995061E-3</v>
      </c>
      <c r="C793">
        <v>-3.3459334191385318E-2</v>
      </c>
      <c r="D793">
        <v>-4.7322174865622686E-2</v>
      </c>
    </row>
    <row r="794" spans="1:4" x14ac:dyDescent="0.2">
      <c r="A794" s="1">
        <v>45924</v>
      </c>
      <c r="B794">
        <v>-8.3673893013791814E-3</v>
      </c>
      <c r="C794">
        <v>-3.3469982633207822E-2</v>
      </c>
      <c r="D794">
        <v>-4.7337235160101021E-2</v>
      </c>
    </row>
    <row r="795" spans="1:4" x14ac:dyDescent="0.2">
      <c r="A795" s="1">
        <v>45925</v>
      </c>
      <c r="B795">
        <v>1.7910362646924066E-2</v>
      </c>
      <c r="C795">
        <v>-3.3515389104108721E-2</v>
      </c>
      <c r="D795">
        <v>-4.7401454398407206E-2</v>
      </c>
    </row>
    <row r="796" spans="1:4" x14ac:dyDescent="0.2">
      <c r="A796" s="1">
        <v>45926</v>
      </c>
      <c r="B796">
        <v>-5.5030401608776973E-3</v>
      </c>
      <c r="C796">
        <v>-3.3517862656731047E-2</v>
      </c>
      <c r="D796">
        <v>-4.7404952791084823E-2</v>
      </c>
    </row>
    <row r="797" spans="1:4" x14ac:dyDescent="0.2">
      <c r="A797" s="1">
        <v>45929</v>
      </c>
      <c r="B797">
        <v>-4.0399331846672493E-3</v>
      </c>
      <c r="C797">
        <v>-3.3521078857209043E-2</v>
      </c>
      <c r="D797">
        <v>-4.7409501524796983E-2</v>
      </c>
    </row>
    <row r="798" spans="1:4" x14ac:dyDescent="0.2">
      <c r="A798" s="1">
        <v>45930</v>
      </c>
      <c r="B798">
        <v>7.8332428708840596E-4</v>
      </c>
      <c r="C798">
        <v>-3.344115128985866E-2</v>
      </c>
      <c r="D798">
        <v>-4.7296458441001471E-2</v>
      </c>
    </row>
    <row r="799" spans="1:4" x14ac:dyDescent="0.2">
      <c r="A799" s="1">
        <v>45931</v>
      </c>
      <c r="B799">
        <v>3.2173884433226436E-3</v>
      </c>
      <c r="C799">
        <v>-3.3295725875831114E-2</v>
      </c>
      <c r="D799">
        <v>-4.7090780502727109E-2</v>
      </c>
    </row>
    <row r="800" spans="1:4" x14ac:dyDescent="0.2">
      <c r="A800" s="1">
        <v>45932</v>
      </c>
      <c r="B800">
        <v>6.5558624577845013E-3</v>
      </c>
      <c r="C800">
        <v>-3.3301026738459923E-2</v>
      </c>
      <c r="D800">
        <v>-4.7098277613901653E-2</v>
      </c>
    </row>
    <row r="801" spans="1:4" x14ac:dyDescent="0.2">
      <c r="A801" s="1">
        <v>45933</v>
      </c>
      <c r="B801">
        <v>3.4541139424183009E-3</v>
      </c>
      <c r="C801">
        <v>-3.32975685972349E-2</v>
      </c>
      <c r="D801">
        <v>-4.7093386698773929E-2</v>
      </c>
    </row>
    <row r="802" spans="1:4" x14ac:dyDescent="0.2">
      <c r="A802" s="1">
        <v>45936</v>
      </c>
      <c r="B802">
        <v>-5.1700424660639181E-3</v>
      </c>
      <c r="C802">
        <v>-3.3299621837945992E-2</v>
      </c>
      <c r="D802">
        <v>-4.7096290636294488E-2</v>
      </c>
    </row>
    <row r="803" spans="1:4" x14ac:dyDescent="0.2">
      <c r="A803" s="1">
        <v>45937</v>
      </c>
      <c r="B803">
        <v>-8.1609866437003849E-4</v>
      </c>
      <c r="C803">
        <v>-3.3210875133028867E-2</v>
      </c>
      <c r="D803">
        <v>-4.6970774477938966E-2</v>
      </c>
    </row>
    <row r="804" spans="1:4" x14ac:dyDescent="0.2">
      <c r="A804" s="1">
        <v>45938</v>
      </c>
      <c r="B804">
        <v>6.1414513823877534E-3</v>
      </c>
      <c r="C804">
        <v>-3.3164902794339236E-2</v>
      </c>
      <c r="D804">
        <v>-4.6905754922020475E-2</v>
      </c>
    </row>
    <row r="805" spans="1:4" x14ac:dyDescent="0.2">
      <c r="A805" s="1">
        <v>45939</v>
      </c>
      <c r="B805">
        <v>-1.569899554685315E-2</v>
      </c>
      <c r="C805">
        <v>-3.3165478387140762E-2</v>
      </c>
      <c r="D805">
        <v>-4.6906568993903962E-2</v>
      </c>
    </row>
    <row r="806" spans="1:4" x14ac:dyDescent="0.2">
      <c r="A806" s="1">
        <v>45940</v>
      </c>
      <c r="B806">
        <v>-3.5134844361764436E-2</v>
      </c>
      <c r="C806">
        <v>-3.3370147625796785E-2</v>
      </c>
      <c r="D806">
        <v>-4.7196036603925559E-2</v>
      </c>
    </row>
    <row r="807" spans="1:4" x14ac:dyDescent="0.2">
      <c r="A807" s="1">
        <v>45943</v>
      </c>
      <c r="B807">
        <v>9.6994207465352714E-3</v>
      </c>
      <c r="C807">
        <v>-3.3376814658803641E-2</v>
      </c>
      <c r="D807">
        <v>-4.7205465915936988E-2</v>
      </c>
    </row>
    <row r="808" spans="1:4" x14ac:dyDescent="0.2">
      <c r="A808" s="1">
        <v>45944</v>
      </c>
      <c r="B808">
        <v>4.4490463596471701E-4</v>
      </c>
      <c r="C808">
        <v>-3.3335005837986688E-2</v>
      </c>
      <c r="D808">
        <v>-4.7146334902800013E-2</v>
      </c>
    </row>
    <row r="809" spans="1:4" x14ac:dyDescent="0.2">
      <c r="A809" s="1">
        <v>45945</v>
      </c>
      <c r="B809">
        <v>6.316468150636783E-3</v>
      </c>
      <c r="C809">
        <v>-3.3322349768966066E-2</v>
      </c>
      <c r="D809">
        <v>-4.7128435182862978E-2</v>
      </c>
    </row>
    <row r="810" spans="1:4" x14ac:dyDescent="0.2">
      <c r="A810" s="1">
        <v>45946</v>
      </c>
      <c r="B810">
        <v>-7.6112862275411405E-3</v>
      </c>
      <c r="C810">
        <v>-3.3318796308151551E-2</v>
      </c>
      <c r="D810">
        <v>-4.7123409455420803E-2</v>
      </c>
    </row>
    <row r="811" spans="1:4" x14ac:dyDescent="0.2">
      <c r="A811" s="1">
        <v>45947</v>
      </c>
      <c r="B811">
        <v>1.9371522109804688E-2</v>
      </c>
      <c r="C811">
        <v>-3.3377687360150579E-2</v>
      </c>
      <c r="D811">
        <v>-4.720670019410609E-2</v>
      </c>
    </row>
    <row r="812" spans="1:4" x14ac:dyDescent="0.2">
      <c r="A812" s="1">
        <v>45950</v>
      </c>
      <c r="B812">
        <v>3.8680630324908392E-2</v>
      </c>
      <c r="C812">
        <v>-3.3592797752986556E-2</v>
      </c>
      <c r="D812">
        <v>-4.7510934927737399E-2</v>
      </c>
    </row>
    <row r="813" spans="1:4" x14ac:dyDescent="0.2">
      <c r="A813" s="1">
        <v>45951</v>
      </c>
      <c r="B813">
        <v>2.0228551282317968E-3</v>
      </c>
      <c r="C813">
        <v>-3.358770516822647E-2</v>
      </c>
      <c r="D813">
        <v>-4.7503732387927239E-2</v>
      </c>
    </row>
    <row r="814" spans="1:4" x14ac:dyDescent="0.2">
      <c r="A814" s="1">
        <v>45952</v>
      </c>
      <c r="B814">
        <v>-1.6577662768929691E-2</v>
      </c>
      <c r="C814">
        <v>-3.3632877155300916E-2</v>
      </c>
      <c r="D814">
        <v>-4.7567619991282929E-2</v>
      </c>
    </row>
    <row r="815" spans="1:4" x14ac:dyDescent="0.2">
      <c r="A815" s="1">
        <v>45953</v>
      </c>
      <c r="B815">
        <v>4.363255066554628E-3</v>
      </c>
      <c r="C815">
        <v>-3.3554898389447772E-2</v>
      </c>
      <c r="D815">
        <v>-4.7457333134634773E-2</v>
      </c>
    </row>
    <row r="816" spans="1:4" x14ac:dyDescent="0.2">
      <c r="A816" s="1">
        <v>45954</v>
      </c>
      <c r="B816">
        <v>1.2401219905186259E-2</v>
      </c>
      <c r="C816">
        <v>-3.3577477278494701E-2</v>
      </c>
      <c r="D816">
        <v>-4.7489266888296411E-2</v>
      </c>
    </row>
    <row r="817" spans="1:4" x14ac:dyDescent="0.2">
      <c r="A817" s="1">
        <v>45957</v>
      </c>
      <c r="B817">
        <v>2.2536897717162413E-2</v>
      </c>
      <c r="C817">
        <v>-3.365388535725574E-2</v>
      </c>
      <c r="D817">
        <v>-4.7597332292216118E-2</v>
      </c>
    </row>
    <row r="818" spans="1:4" x14ac:dyDescent="0.2">
      <c r="A818" s="1">
        <v>45958</v>
      </c>
      <c r="B818">
        <v>7.0418995918384902E-4</v>
      </c>
      <c r="C818">
        <v>-3.3643677825607593E-2</v>
      </c>
      <c r="D818">
        <v>-4.7582895585411455E-2</v>
      </c>
    </row>
    <row r="819" spans="1:4" x14ac:dyDescent="0.2">
      <c r="A819" s="1">
        <v>45959</v>
      </c>
      <c r="B819">
        <v>2.60008515849069E-3</v>
      </c>
      <c r="C819">
        <v>-3.364427745068823E-2</v>
      </c>
      <c r="D819">
        <v>-4.7583743646605905E-2</v>
      </c>
    </row>
    <row r="820" spans="1:4" x14ac:dyDescent="0.2">
      <c r="A820" s="1">
        <v>45960</v>
      </c>
      <c r="B820">
        <v>6.2843795909246492E-3</v>
      </c>
      <c r="C820">
        <v>-3.3607880548830404E-2</v>
      </c>
      <c r="D820">
        <v>-4.7532266813730781E-2</v>
      </c>
    </row>
    <row r="821" spans="1:4" x14ac:dyDescent="0.2">
      <c r="A821" s="1">
        <v>45961</v>
      </c>
      <c r="B821">
        <v>-3.8059072568557006E-3</v>
      </c>
      <c r="C821">
        <v>-3.3552263961236228E-2</v>
      </c>
      <c r="D821">
        <v>-4.7453607212541264E-2</v>
      </c>
    </row>
    <row r="822" spans="1:4" x14ac:dyDescent="0.2">
      <c r="A822" s="1">
        <v>45964</v>
      </c>
      <c r="B822">
        <v>-4.8923467685183988E-3</v>
      </c>
      <c r="C822">
        <v>-3.3525108240568105E-2</v>
      </c>
      <c r="D822">
        <v>-4.7415200358576139E-2</v>
      </c>
    </row>
    <row r="823" spans="1:4" x14ac:dyDescent="0.2">
      <c r="A823" s="1">
        <v>45965</v>
      </c>
      <c r="B823">
        <v>3.6724297124804423E-3</v>
      </c>
      <c r="C823">
        <v>-3.3522674733277094E-2</v>
      </c>
      <c r="D823">
        <v>-4.7411758602774808E-2</v>
      </c>
    </row>
    <row r="824" spans="1:4" x14ac:dyDescent="0.2">
      <c r="A824" s="1">
        <v>45966</v>
      </c>
      <c r="B824">
        <v>3.7095290807298759E-4</v>
      </c>
      <c r="C824">
        <v>-3.351747920145861E-2</v>
      </c>
      <c r="D824">
        <v>-4.7404410462975381E-2</v>
      </c>
    </row>
    <row r="825" spans="1:4" x14ac:dyDescent="0.2">
      <c r="A825" s="1">
        <v>45967</v>
      </c>
      <c r="B825">
        <v>-1.3694997157917518E-3</v>
      </c>
      <c r="C825">
        <v>-3.351556097766193E-2</v>
      </c>
      <c r="D825">
        <v>-4.7401697482453452E-2</v>
      </c>
    </row>
    <row r="826" spans="1:4" x14ac:dyDescent="0.2">
      <c r="A826" s="1">
        <v>45968</v>
      </c>
      <c r="B826">
        <v>-4.8323301087222032E-3</v>
      </c>
      <c r="C826">
        <v>-3.3452942507009989E-2</v>
      </c>
      <c r="D826">
        <v>-4.7313134984435422E-2</v>
      </c>
    </row>
    <row r="827" spans="1:4" x14ac:dyDescent="0.2">
      <c r="A827" s="1">
        <v>45971</v>
      </c>
      <c r="B827">
        <v>4.5388870726385091E-3</v>
      </c>
      <c r="C827">
        <v>-3.3454768591154545E-2</v>
      </c>
      <c r="D827">
        <v>-4.7315717650089011E-2</v>
      </c>
    </row>
    <row r="828" spans="1:4" x14ac:dyDescent="0.2">
      <c r="A828" s="1">
        <v>45972</v>
      </c>
      <c r="B828">
        <v>2.1372771991686128E-2</v>
      </c>
      <c r="C828">
        <v>-3.3496760247761971E-2</v>
      </c>
      <c r="D828">
        <v>-4.7375107251373595E-2</v>
      </c>
    </row>
    <row r="829" spans="1:4" x14ac:dyDescent="0.2">
      <c r="A829" s="1">
        <v>45973</v>
      </c>
      <c r="B829">
        <v>-6.4902719039475008E-3</v>
      </c>
      <c r="C829">
        <v>-3.3505328244011236E-2</v>
      </c>
      <c r="D829">
        <v>-4.7387225131975651E-2</v>
      </c>
    </row>
    <row r="830" spans="1:4" x14ac:dyDescent="0.2">
      <c r="A830" s="1">
        <v>45974</v>
      </c>
      <c r="B830">
        <v>-1.9014163765951892E-3</v>
      </c>
      <c r="C830">
        <v>-3.3504892590683025E-2</v>
      </c>
      <c r="D830">
        <v>-4.7386608979159806E-2</v>
      </c>
    </row>
    <row r="831" spans="1:4" x14ac:dyDescent="0.2">
      <c r="A831" s="1">
        <v>45975</v>
      </c>
      <c r="B831">
        <v>-1.9821975839582977E-3</v>
      </c>
      <c r="C831">
        <v>-3.3479039047911004E-2</v>
      </c>
      <c r="D831">
        <v>-4.7350043820243146E-2</v>
      </c>
    </row>
    <row r="832" spans="1:4" x14ac:dyDescent="0.2">
      <c r="A832" s="1">
        <v>45978</v>
      </c>
      <c r="B832">
        <v>-1.8336890820755521E-2</v>
      </c>
      <c r="C832">
        <v>-3.350182320904261E-2</v>
      </c>
      <c r="D832">
        <v>-4.7382267894131448E-2</v>
      </c>
    </row>
    <row r="833" spans="1:4" x14ac:dyDescent="0.2">
      <c r="A833" s="1">
        <v>45979</v>
      </c>
      <c r="B833">
        <v>-7.485029943605759E-5</v>
      </c>
      <c r="C833">
        <v>-3.3475966308422679E-2</v>
      </c>
      <c r="D833">
        <v>-4.7345697986146414E-2</v>
      </c>
    </row>
    <row r="834" spans="1:4" x14ac:dyDescent="0.2">
      <c r="A834" s="1">
        <v>45980</v>
      </c>
      <c r="B834">
        <v>4.1792855962156806E-3</v>
      </c>
      <c r="C834">
        <v>-3.3477937403254603E-2</v>
      </c>
      <c r="D834">
        <v>-4.7348485743182449E-2</v>
      </c>
    </row>
    <row r="835" spans="1:4" x14ac:dyDescent="0.2">
      <c r="A835" s="1">
        <v>45981</v>
      </c>
      <c r="B835">
        <v>-8.6392332355387357E-3</v>
      </c>
      <c r="C835">
        <v>-3.3490907350780752E-2</v>
      </c>
      <c r="D835">
        <v>-4.7366829387479728E-2</v>
      </c>
    </row>
    <row r="836" spans="1:4" x14ac:dyDescent="0.2">
      <c r="A836" s="1">
        <v>45982</v>
      </c>
      <c r="B836">
        <v>1.9489222446322996E-2</v>
      </c>
      <c r="C836">
        <v>-3.3547111527646209E-2</v>
      </c>
      <c r="D836">
        <v>-4.7446320027388821E-2</v>
      </c>
    </row>
    <row r="837" spans="1:4" x14ac:dyDescent="0.2">
      <c r="A837" s="1">
        <v>45985</v>
      </c>
      <c r="B837">
        <v>1.6186186935039201E-2</v>
      </c>
      <c r="C837">
        <v>-3.3581474256827254E-2</v>
      </c>
      <c r="D837">
        <v>-4.7494919891028185E-2</v>
      </c>
    </row>
    <row r="838" spans="1:4" x14ac:dyDescent="0.2">
      <c r="A838" s="1">
        <v>45986</v>
      </c>
      <c r="B838">
        <v>3.7981626946865989E-3</v>
      </c>
      <c r="C838">
        <v>-3.3558778432187131E-2</v>
      </c>
      <c r="D838">
        <v>-4.7462820753125565E-2</v>
      </c>
    </row>
    <row r="839" spans="1:4" x14ac:dyDescent="0.2">
      <c r="A839" s="1">
        <v>45987</v>
      </c>
      <c r="B839">
        <v>2.0938560218358897E-3</v>
      </c>
      <c r="C839">
        <v>-3.3546943267767748E-2</v>
      </c>
      <c r="D839">
        <v>-4.7446082054231731E-2</v>
      </c>
    </row>
    <row r="840" spans="1:4" x14ac:dyDescent="0.2">
      <c r="A840" s="1">
        <v>45989</v>
      </c>
      <c r="B840">
        <v>4.6700811652773452E-3</v>
      </c>
      <c r="C840">
        <v>-3.3549253460499084E-2</v>
      </c>
      <c r="D840">
        <v>-4.7449349403898056E-2</v>
      </c>
    </row>
    <row r="841" spans="1:4" x14ac:dyDescent="0.2">
      <c r="A841" s="1">
        <v>45992</v>
      </c>
      <c r="B841">
        <v>1.5126111304433606E-2</v>
      </c>
      <c r="C841">
        <v>-3.3568409485292348E-2</v>
      </c>
      <c r="D841">
        <v>-4.7476442135325765E-2</v>
      </c>
    </row>
    <row r="842" spans="1:4" x14ac:dyDescent="0.2">
      <c r="A842" s="1">
        <v>45993</v>
      </c>
      <c r="B842">
        <v>1.0855357609555289E-2</v>
      </c>
      <c r="C842">
        <v>-3.35726160999614E-2</v>
      </c>
      <c r="D842">
        <v>-4.7482391630728822E-2</v>
      </c>
    </row>
    <row r="843" spans="1:4" x14ac:dyDescent="0.2">
      <c r="A843" s="1">
        <v>45994</v>
      </c>
      <c r="B843">
        <v>-7.1533423320088909E-3</v>
      </c>
      <c r="C843">
        <v>-3.3559247524812132E-2</v>
      </c>
      <c r="D843">
        <v>-4.7463484199776994E-2</v>
      </c>
    </row>
    <row r="844" spans="1:4" x14ac:dyDescent="0.2">
      <c r="A844" s="1">
        <v>45995</v>
      </c>
      <c r="B844">
        <v>-1.2213037355197996E-2</v>
      </c>
      <c r="C844">
        <v>-3.3585789317907504E-2</v>
      </c>
      <c r="D844">
        <v>-4.7501022764260131E-2</v>
      </c>
    </row>
    <row r="845" spans="1:4" x14ac:dyDescent="0.2">
      <c r="A845" s="1">
        <v>45996</v>
      </c>
      <c r="B845">
        <v>-6.866387001606163E-3</v>
      </c>
      <c r="C845">
        <v>-3.3594725718027234E-2</v>
      </c>
      <c r="D845">
        <v>-4.7513661685486611E-2</v>
      </c>
    </row>
    <row r="846" spans="1:4" x14ac:dyDescent="0.2">
      <c r="A846" s="1">
        <v>45999</v>
      </c>
      <c r="B846">
        <v>-3.1969877036034039E-3</v>
      </c>
      <c r="C846">
        <v>-3.3596700302329828E-2</v>
      </c>
      <c r="D846">
        <v>-4.7516454377747597E-2</v>
      </c>
    </row>
    <row r="847" spans="1:4" x14ac:dyDescent="0.2">
      <c r="A847" s="1">
        <v>46000</v>
      </c>
      <c r="B847">
        <v>-2.5570250033236062E-3</v>
      </c>
      <c r="C847">
        <v>-3.3559593143687831E-2</v>
      </c>
      <c r="D847">
        <v>-4.7463973015148486E-2</v>
      </c>
    </row>
    <row r="848" spans="1:4" x14ac:dyDescent="0.2">
      <c r="A848" s="1">
        <v>46001</v>
      </c>
      <c r="B848">
        <v>5.7540127069270735E-3</v>
      </c>
      <c r="C848">
        <v>-3.3561938857132809E-2</v>
      </c>
      <c r="D848">
        <v>-4.746729060243797E-2</v>
      </c>
    </row>
    <row r="849" spans="1:4" x14ac:dyDescent="0.2">
      <c r="A849" s="1">
        <v>46002</v>
      </c>
      <c r="B849">
        <v>-2.6928465334010638E-3</v>
      </c>
      <c r="C849">
        <v>-3.3558371985790043E-2</v>
      </c>
      <c r="D849">
        <v>-4.7462245908229769E-2</v>
      </c>
    </row>
    <row r="850" spans="1:4" x14ac:dyDescent="0.2">
      <c r="A850" s="1">
        <v>46003</v>
      </c>
      <c r="B850">
        <v>8.9962042088118045E-4</v>
      </c>
      <c r="C850">
        <v>-3.3553571839982595E-2</v>
      </c>
      <c r="D850">
        <v>-4.7455456970411071E-2</v>
      </c>
    </row>
    <row r="851" spans="1:4" x14ac:dyDescent="0.2">
      <c r="A851" s="1">
        <v>46006</v>
      </c>
      <c r="B851">
        <v>-1.5097935889465607E-2</v>
      </c>
      <c r="C851">
        <v>-3.3592671118304523E-2</v>
      </c>
      <c r="D851">
        <v>-4.7510755825889969E-2</v>
      </c>
    </row>
    <row r="852" spans="1:4" x14ac:dyDescent="0.2">
      <c r="A852" s="1">
        <v>46007</v>
      </c>
      <c r="B852">
        <v>1.8204807228417211E-3</v>
      </c>
      <c r="C852">
        <v>-3.3572465840457977E-2</v>
      </c>
      <c r="D852">
        <v>-4.7482179115845673E-2</v>
      </c>
    </row>
    <row r="853" spans="1:4" x14ac:dyDescent="0.2">
      <c r="A853" s="1">
        <v>46008</v>
      </c>
      <c r="B853">
        <v>-1.0136750418094944E-2</v>
      </c>
      <c r="C853">
        <v>-3.357612543078569E-2</v>
      </c>
      <c r="D853">
        <v>-4.7487354944283675E-2</v>
      </c>
    </row>
    <row r="854" spans="1:4" x14ac:dyDescent="0.2">
      <c r="A854" s="1">
        <v>46009</v>
      </c>
      <c r="B854">
        <v>1.2878965281186326E-3</v>
      </c>
      <c r="C854">
        <v>-3.3497919779019676E-2</v>
      </c>
      <c r="D854">
        <v>-4.7376747198559187E-2</v>
      </c>
    </row>
    <row r="855" spans="1:4" x14ac:dyDescent="0.2">
      <c r="A855" s="1">
        <v>46010</v>
      </c>
      <c r="B855">
        <v>5.4203855091453125E-3</v>
      </c>
      <c r="C855">
        <v>-3.3494952751046497E-2</v>
      </c>
      <c r="D855">
        <v>-4.7372550874275665E-2</v>
      </c>
    </row>
    <row r="856" spans="1:4" x14ac:dyDescent="0.2">
      <c r="A856" s="1">
        <v>46013</v>
      </c>
      <c r="B856">
        <v>-9.9131352053179068E-3</v>
      </c>
      <c r="C856">
        <v>-3.345756543698554E-2</v>
      </c>
      <c r="D856">
        <v>-4.7319673282521194E-2</v>
      </c>
    </row>
    <row r="857" spans="1:4" x14ac:dyDescent="0.2">
      <c r="A857" s="1">
        <v>46014</v>
      </c>
      <c r="B857">
        <v>5.1140264214046211E-3</v>
      </c>
      <c r="C857">
        <v>-3.3460108333447335E-2</v>
      </c>
      <c r="D857">
        <v>-4.7323269749514285E-2</v>
      </c>
    </row>
    <row r="858" spans="1:4" x14ac:dyDescent="0.2">
      <c r="A858" s="1">
        <v>46015</v>
      </c>
      <c r="B858">
        <v>5.3110217406395314E-3</v>
      </c>
      <c r="C858">
        <v>-3.3444062528042127E-2</v>
      </c>
      <c r="D858">
        <v>-4.7300575860720749E-2</v>
      </c>
    </row>
    <row r="859" spans="1:4" x14ac:dyDescent="0.2">
      <c r="A859" s="1">
        <v>46017</v>
      </c>
      <c r="B859">
        <v>-1.4999143105194274E-3</v>
      </c>
      <c r="C859">
        <v>-3.3443162590226859E-2</v>
      </c>
      <c r="D859">
        <v>-4.729930306149472E-2</v>
      </c>
    </row>
    <row r="860" spans="1:4" x14ac:dyDescent="0.2">
      <c r="A860" s="1">
        <v>46020</v>
      </c>
      <c r="B860">
        <v>1.3171183359092151E-3</v>
      </c>
      <c r="C860">
        <v>-3.3413297875113754E-2</v>
      </c>
      <c r="D860">
        <v>-4.7257064824989155E-2</v>
      </c>
    </row>
    <row r="861" spans="1:4" x14ac:dyDescent="0.2">
      <c r="A861" s="1">
        <v>46021</v>
      </c>
      <c r="B861">
        <v>-2.4856829844541162E-3</v>
      </c>
      <c r="C861">
        <v>-3.3384201292602868E-2</v>
      </c>
      <c r="D861">
        <v>-4.7215912973081517E-2</v>
      </c>
    </row>
    <row r="862" spans="1:4" x14ac:dyDescent="0.2">
      <c r="A862" s="1">
        <v>46022</v>
      </c>
      <c r="B862">
        <v>-4.4780772478707773E-3</v>
      </c>
      <c r="C862">
        <v>-3.3379004201454454E-2</v>
      </c>
      <c r="D862">
        <v>-4.7208562627892005E-2</v>
      </c>
    </row>
    <row r="863" spans="1:4" x14ac:dyDescent="0.2">
      <c r="A863" s="1">
        <v>46024</v>
      </c>
      <c r="B863">
        <v>-3.1307470954378869E-3</v>
      </c>
      <c r="C863">
        <v>-3.326235704620769E-2</v>
      </c>
      <c r="D863">
        <v>-4.7043586330199096E-2</v>
      </c>
    </row>
    <row r="864" spans="1:4" x14ac:dyDescent="0.2">
      <c r="A864" s="1">
        <v>46027</v>
      </c>
      <c r="B864">
        <v>-1.393562877342772E-2</v>
      </c>
      <c r="C864">
        <v>-3.3295026745961076E-2</v>
      </c>
      <c r="D864">
        <v>-4.7089791710010119E-2</v>
      </c>
    </row>
    <row r="865" spans="1:4" x14ac:dyDescent="0.2">
      <c r="A865" s="1">
        <v>46028</v>
      </c>
      <c r="B865">
        <v>-1.8502772125773389E-2</v>
      </c>
      <c r="C865">
        <v>-3.3346315662280003E-2</v>
      </c>
      <c r="D865">
        <v>-4.7162330603128244E-2</v>
      </c>
    </row>
    <row r="866" spans="1:4" x14ac:dyDescent="0.2">
      <c r="A866" s="1">
        <v>46029</v>
      </c>
      <c r="B866">
        <v>-7.7671483277429393E-3</v>
      </c>
      <c r="C866">
        <v>-3.333440951296323E-2</v>
      </c>
      <c r="D866">
        <v>-4.7145491508939409E-2</v>
      </c>
    </row>
    <row r="867" spans="1:4" x14ac:dyDescent="0.2">
      <c r="A867" s="1">
        <v>46030</v>
      </c>
      <c r="B867">
        <v>-4.9683558072867538E-3</v>
      </c>
      <c r="C867">
        <v>-3.3338431851914867E-2</v>
      </c>
      <c r="D867">
        <v>-4.715118037967872E-2</v>
      </c>
    </row>
    <row r="868" spans="1:4" x14ac:dyDescent="0.2">
      <c r="A868" s="1">
        <v>46031</v>
      </c>
      <c r="B868">
        <v>1.2743134913349257E-3</v>
      </c>
      <c r="C868">
        <v>-3.3238747346863516E-2</v>
      </c>
      <c r="D868">
        <v>-4.7010194681862662E-2</v>
      </c>
    </row>
    <row r="869" spans="1:4" x14ac:dyDescent="0.2">
      <c r="A869" s="1">
        <v>46034</v>
      </c>
      <c r="B869">
        <v>3.3864056170824532E-3</v>
      </c>
      <c r="C869">
        <v>-3.3221113084792149E-2</v>
      </c>
      <c r="D869">
        <v>-4.6985254208492984E-2</v>
      </c>
    </row>
    <row r="870" spans="1:4" x14ac:dyDescent="0.2">
      <c r="A870" s="1">
        <v>46035</v>
      </c>
      <c r="B870">
        <v>3.0682821927987135E-3</v>
      </c>
      <c r="C870">
        <v>-3.321773809218851E-2</v>
      </c>
      <c r="D870">
        <v>-4.6980480892047226E-2</v>
      </c>
    </row>
    <row r="871" spans="1:4" x14ac:dyDescent="0.2">
      <c r="A871" s="1">
        <v>46036</v>
      </c>
      <c r="B871">
        <v>-4.1842592502265383E-3</v>
      </c>
      <c r="C871">
        <v>-3.3161718554232687E-2</v>
      </c>
      <c r="D871">
        <v>-4.6901251390471577E-2</v>
      </c>
    </row>
    <row r="872" spans="1:4" x14ac:dyDescent="0.2">
      <c r="A872" s="1">
        <v>46037</v>
      </c>
      <c r="B872">
        <v>-6.7531540089407396E-3</v>
      </c>
      <c r="C872">
        <v>-3.2884406992463637E-2</v>
      </c>
      <c r="D872">
        <v>-4.6509044356606785E-2</v>
      </c>
    </row>
    <row r="873" spans="1:4" x14ac:dyDescent="0.2">
      <c r="A873" s="1">
        <v>46038</v>
      </c>
      <c r="B873">
        <v>-1.0435351681561974E-2</v>
      </c>
      <c r="C873">
        <v>-3.2895909932324455E-2</v>
      </c>
      <c r="D873">
        <v>-4.6525313183967444E-2</v>
      </c>
    </row>
    <row r="874" spans="1:4" x14ac:dyDescent="0.2">
      <c r="A874" s="1">
        <v>46042</v>
      </c>
      <c r="B874">
        <v>-3.5167846056976683E-2</v>
      </c>
      <c r="C874">
        <v>-3.2926790461014648E-2</v>
      </c>
      <c r="D874">
        <v>-4.6568988105000292E-2</v>
      </c>
    </row>
    <row r="875" spans="1:4" x14ac:dyDescent="0.2">
      <c r="A875" s="1">
        <v>46043</v>
      </c>
      <c r="B875">
        <v>3.8429890559868491E-3</v>
      </c>
      <c r="C875">
        <v>-3.2924744037166297E-2</v>
      </c>
      <c r="D875">
        <v>-4.6566093808698784E-2</v>
      </c>
    </row>
    <row r="876" spans="1:4" x14ac:dyDescent="0.2">
      <c r="A876" s="1">
        <v>46044</v>
      </c>
      <c r="B876">
        <v>2.8252254754879353E-3</v>
      </c>
      <c r="C876">
        <v>-3.2925455784686079E-2</v>
      </c>
      <c r="D876">
        <v>-4.6567100446798598E-2</v>
      </c>
    </row>
    <row r="877" spans="1:4" x14ac:dyDescent="0.2">
      <c r="A877" s="1">
        <v>46045</v>
      </c>
      <c r="B877">
        <v>-1.2501866825963114E-3</v>
      </c>
      <c r="C877">
        <v>-3.2922764118760169E-2</v>
      </c>
      <c r="D877">
        <v>-4.6563293572313369E-2</v>
      </c>
    </row>
    <row r="878" spans="1:4" x14ac:dyDescent="0.2">
      <c r="A878" s="1">
        <v>46048</v>
      </c>
      <c r="B878">
        <v>2.9279655875895209E-2</v>
      </c>
      <c r="C878">
        <v>-3.290302729081554E-2</v>
      </c>
      <c r="D878">
        <v>-4.6535379399904979E-2</v>
      </c>
    </row>
    <row r="879" spans="1:4" x14ac:dyDescent="0.2">
      <c r="A879" s="1">
        <v>46049</v>
      </c>
      <c r="B879">
        <v>1.1138073055739712E-2</v>
      </c>
      <c r="C879">
        <v>-3.2713462441063983E-2</v>
      </c>
      <c r="D879">
        <v>-4.6267274215354467E-2</v>
      </c>
    </row>
    <row r="880" spans="1:4" x14ac:dyDescent="0.2">
      <c r="A880" s="1">
        <v>46050</v>
      </c>
      <c r="B880">
        <v>-7.1135922430035671E-3</v>
      </c>
      <c r="C880">
        <v>-3.2719577013743596E-2</v>
      </c>
      <c r="D880">
        <v>-4.6275922172182238E-2</v>
      </c>
    </row>
    <row r="881" spans="1:4" x14ac:dyDescent="0.2">
      <c r="A881" s="1">
        <v>46051</v>
      </c>
      <c r="B881">
        <v>7.1523468257378049E-3</v>
      </c>
      <c r="C881">
        <v>-3.2717365188152138E-2</v>
      </c>
      <c r="D881">
        <v>-4.6272793945039033E-2</v>
      </c>
    </row>
    <row r="882" spans="1:4" x14ac:dyDescent="0.2">
      <c r="A882" s="1">
        <v>46052</v>
      </c>
      <c r="B882">
        <v>4.6319649159572282E-3</v>
      </c>
      <c r="C882">
        <v>-3.2712021998008961E-2</v>
      </c>
      <c r="D882">
        <v>-4.6265236969253158E-2</v>
      </c>
    </row>
    <row r="883" spans="1:4" x14ac:dyDescent="0.2">
      <c r="A883" s="1">
        <v>46055</v>
      </c>
      <c r="B883">
        <v>3.9782559584050539E-2</v>
      </c>
      <c r="C883">
        <v>-3.2764432214334539E-2</v>
      </c>
      <c r="D883">
        <v>-4.6339361738368938E-2</v>
      </c>
    </row>
    <row r="884" spans="1:4" x14ac:dyDescent="0.2">
      <c r="A884" s="1">
        <v>46056</v>
      </c>
      <c r="B884">
        <v>-1.9666565395948976E-3</v>
      </c>
      <c r="C884">
        <v>-3.2698290216728015E-2</v>
      </c>
      <c r="D884">
        <v>-4.6245815848938082E-2</v>
      </c>
    </row>
    <row r="885" spans="1:4" x14ac:dyDescent="0.2">
      <c r="A885" s="1">
        <v>46057</v>
      </c>
      <c r="B885">
        <v>2.56824880892388E-2</v>
      </c>
      <c r="C885">
        <v>-3.2801469197269471E-2</v>
      </c>
      <c r="D885">
        <v>-4.639174385012635E-2</v>
      </c>
    </row>
    <row r="886" spans="1:4" x14ac:dyDescent="0.2">
      <c r="A886" s="1">
        <v>46058</v>
      </c>
      <c r="B886">
        <v>-2.1018917509266826E-3</v>
      </c>
      <c r="C886">
        <v>-3.2801722010317488E-2</v>
      </c>
      <c r="D886">
        <v>-4.6392101408444707E-2</v>
      </c>
    </row>
    <row r="887" spans="1:4" x14ac:dyDescent="0.2">
      <c r="A887" s="1">
        <v>46059</v>
      </c>
      <c r="B887">
        <v>7.9781891336192772E-3</v>
      </c>
      <c r="C887">
        <v>-3.2706566636696417E-2</v>
      </c>
      <c r="D887">
        <v>-4.6257521347641842E-2</v>
      </c>
    </row>
    <row r="888" spans="1:4" x14ac:dyDescent="0.2">
      <c r="A888" s="1">
        <v>46062</v>
      </c>
      <c r="B888">
        <v>-1.1729065827109895E-2</v>
      </c>
      <c r="C888">
        <v>-3.2732578856668526E-2</v>
      </c>
      <c r="D888">
        <v>-4.6294310926750688E-2</v>
      </c>
    </row>
    <row r="889" spans="1:4" x14ac:dyDescent="0.2">
      <c r="A889" s="1">
        <v>46063</v>
      </c>
      <c r="B889">
        <v>-3.4287832242565278E-3</v>
      </c>
      <c r="C889">
        <v>-3.2663015806259847E-2</v>
      </c>
      <c r="D889">
        <v>-4.6195926577056318E-2</v>
      </c>
    </row>
    <row r="890" spans="1:4" x14ac:dyDescent="0.2">
      <c r="A890" s="1">
        <v>46064</v>
      </c>
      <c r="B890">
        <v>6.6280879236198581E-3</v>
      </c>
      <c r="C890">
        <v>-3.2618219585891617E-2</v>
      </c>
      <c r="D890">
        <v>-4.6132570427724159E-2</v>
      </c>
    </row>
    <row r="891" spans="1:4" x14ac:dyDescent="0.2">
      <c r="A891" s="1">
        <v>46065</v>
      </c>
      <c r="B891">
        <v>-5.1274190548633441E-2</v>
      </c>
      <c r="C891">
        <v>-3.3001917767251338E-2</v>
      </c>
      <c r="D891">
        <v>-4.6675242087897272E-2</v>
      </c>
    </row>
    <row r="892" spans="1:4" x14ac:dyDescent="0.2">
      <c r="A892" s="1">
        <v>46066</v>
      </c>
      <c r="B892">
        <v>-2.2995738039161814E-2</v>
      </c>
      <c r="C892">
        <v>-3.3065794430793022E-2</v>
      </c>
      <c r="D892">
        <v>-4.6765584072129891E-2</v>
      </c>
    </row>
    <row r="893" spans="1:4" x14ac:dyDescent="0.2">
      <c r="A893" s="1">
        <v>46070</v>
      </c>
      <c r="B893">
        <v>3.1176754349496051E-2</v>
      </c>
      <c r="C893">
        <v>-3.3222373047603226E-2</v>
      </c>
      <c r="D893">
        <v>-4.6987036197941097E-2</v>
      </c>
    </row>
    <row r="894" spans="1:4" x14ac:dyDescent="0.2">
      <c r="A894" s="1">
        <v>46071</v>
      </c>
      <c r="B894">
        <v>1.7795283267892476E-3</v>
      </c>
      <c r="C894">
        <v>-3.3222438992746517E-2</v>
      </c>
      <c r="D894">
        <v>-4.6987129465415708E-2</v>
      </c>
    </row>
    <row r="895" spans="1:4" x14ac:dyDescent="0.2">
      <c r="A895" s="1">
        <v>46072</v>
      </c>
      <c r="B895">
        <v>-1.4364066906673809E-2</v>
      </c>
      <c r="C895">
        <v>-3.3255369390379513E-2</v>
      </c>
      <c r="D895">
        <v>-4.7033703555212886E-2</v>
      </c>
    </row>
    <row r="896" spans="1:4" x14ac:dyDescent="0.2">
      <c r="A896" s="1">
        <v>46073</v>
      </c>
      <c r="B896">
        <v>1.5233747259448463E-2</v>
      </c>
      <c r="C896">
        <v>-3.3291532108809932E-2</v>
      </c>
      <c r="D896">
        <v>-4.7084849177997608E-2</v>
      </c>
    </row>
    <row r="897" spans="1:4" x14ac:dyDescent="0.2">
      <c r="A897" s="1">
        <v>46076</v>
      </c>
      <c r="B897">
        <v>6.0291086241762307E-3</v>
      </c>
      <c r="C897">
        <v>-3.3290446913956447E-2</v>
      </c>
      <c r="D897">
        <v>-4.7083314366207087E-2</v>
      </c>
    </row>
    <row r="898" spans="1:4" x14ac:dyDescent="0.2">
      <c r="A898" s="1">
        <v>46077</v>
      </c>
      <c r="B898">
        <v>2.214386810430231E-2</v>
      </c>
      <c r="C898">
        <v>-3.3367674532245532E-2</v>
      </c>
      <c r="D898">
        <v>-4.7192538860520925E-2</v>
      </c>
    </row>
    <row r="899" spans="1:4" x14ac:dyDescent="0.2">
      <c r="A899" s="1">
        <v>46078</v>
      </c>
      <c r="B899">
        <v>7.650530571124887E-3</v>
      </c>
      <c r="C899">
        <v>-3.3249265228365577E-2</v>
      </c>
      <c r="D899">
        <v>-4.7025070322388243E-2</v>
      </c>
    </row>
    <row r="900" spans="1:4" x14ac:dyDescent="0.2">
      <c r="A900" s="1">
        <v>46079</v>
      </c>
      <c r="B900">
        <v>-4.6785421060705724E-3</v>
      </c>
      <c r="C900">
        <v>-3.3224512440970598E-2</v>
      </c>
      <c r="D900">
        <v>-4.6990061982807523E-2</v>
      </c>
    </row>
    <row r="901" spans="1:4" x14ac:dyDescent="0.2">
      <c r="A901" s="1">
        <v>46080</v>
      </c>
      <c r="B901">
        <v>-3.265793923204912E-2</v>
      </c>
      <c r="C901">
        <v>-3.3347963155297575E-2</v>
      </c>
      <c r="D901">
        <v>-4.7164660683942802E-2</v>
      </c>
    </row>
    <row r="902" spans="1:4" x14ac:dyDescent="0.2">
      <c r="A902" s="1">
        <v>46083</v>
      </c>
      <c r="B902">
        <v>2.0419746176394381E-3</v>
      </c>
      <c r="C902">
        <v>-3.330517001044591E-2</v>
      </c>
      <c r="D902">
        <v>-4.7104137522539259E-2</v>
      </c>
    </row>
    <row r="903" spans="1:4" x14ac:dyDescent="0.2">
      <c r="A903" s="1">
        <v>46084</v>
      </c>
      <c r="B903">
        <v>-3.8984928540938429E-3</v>
      </c>
      <c r="C903">
        <v>-3.329410375103866E-2</v>
      </c>
      <c r="D903">
        <v>-4.708848630067744E-2</v>
      </c>
    </row>
    <row r="904" spans="1:4" x14ac:dyDescent="0.2">
      <c r="A904" s="1">
        <v>46085</v>
      </c>
      <c r="B904">
        <v>-4.7135830609543088E-3</v>
      </c>
      <c r="C904">
        <v>-3.3298201287595863E-2</v>
      </c>
      <c r="D904">
        <v>-4.7094281524825331E-2</v>
      </c>
    </row>
    <row r="905" spans="1:4" x14ac:dyDescent="0.2">
      <c r="A905" s="1">
        <v>46086</v>
      </c>
      <c r="B905">
        <v>-8.4178802032305131E-3</v>
      </c>
      <c r="C905">
        <v>-3.3310217061429559E-2</v>
      </c>
      <c r="D905">
        <v>-4.7111275663060469E-2</v>
      </c>
    </row>
    <row r="906" spans="1:4" x14ac:dyDescent="0.2">
      <c r="A906" s="1">
        <v>46087</v>
      </c>
      <c r="B906">
        <v>-1.0778339263590005E-2</v>
      </c>
      <c r="C906">
        <v>-3.3291825445742683E-2</v>
      </c>
      <c r="D906">
        <v>-4.7085264050019469E-2</v>
      </c>
    </row>
    <row r="907" spans="1:4" x14ac:dyDescent="0.2">
      <c r="A907" s="1">
        <v>46090</v>
      </c>
      <c r="B907">
        <v>9.3940963386702613E-3</v>
      </c>
      <c r="C907">
        <v>-3.2892484575455787E-2</v>
      </c>
      <c r="D907">
        <v>-4.6520468636380548E-2</v>
      </c>
    </row>
    <row r="908" spans="1:4" x14ac:dyDescent="0.2">
      <c r="A908" s="1">
        <v>46091</v>
      </c>
      <c r="B908">
        <v>3.1885699591475778E-3</v>
      </c>
      <c r="C908">
        <v>-3.2742250708312194E-2</v>
      </c>
      <c r="D908">
        <v>-4.630799001110239E-2</v>
      </c>
    </row>
    <row r="909" spans="1:4" x14ac:dyDescent="0.2">
      <c r="A909" s="1">
        <v>46092</v>
      </c>
      <c r="B909">
        <v>3.4513834637848285E-4</v>
      </c>
      <c r="C909">
        <v>-3.2686329625291749E-2</v>
      </c>
      <c r="D909">
        <v>-4.6228899756220701E-2</v>
      </c>
    </row>
    <row r="910" spans="1:4" x14ac:dyDescent="0.2">
      <c r="A910" s="1">
        <v>46093</v>
      </c>
      <c r="B910">
        <v>-1.9552668124098685E-2</v>
      </c>
      <c r="C910">
        <v>-3.2551129792415277E-2</v>
      </c>
      <c r="D910">
        <v>-4.6037684052507424E-2</v>
      </c>
    </row>
    <row r="911" spans="1:4" x14ac:dyDescent="0.2">
      <c r="A911" s="1">
        <v>46094</v>
      </c>
      <c r="B911">
        <v>-2.2298702052488843E-2</v>
      </c>
      <c r="C911">
        <v>-3.2589828036337858E-2</v>
      </c>
      <c r="D911">
        <v>-4.6092415717382221E-2</v>
      </c>
    </row>
    <row r="912" spans="1:4" x14ac:dyDescent="0.2">
      <c r="A912" s="1">
        <v>46097</v>
      </c>
      <c r="B912">
        <v>1.0736970368314249E-2</v>
      </c>
      <c r="C912">
        <v>-3.260623102120136E-2</v>
      </c>
      <c r="D912">
        <v>-4.6115614771899828E-2</v>
      </c>
    </row>
    <row r="913" spans="1:4" x14ac:dyDescent="0.2">
      <c r="A913" s="1">
        <v>46098</v>
      </c>
      <c r="B913">
        <v>5.5615960336526096E-3</v>
      </c>
      <c r="C913">
        <v>-3.2602335797652281E-2</v>
      </c>
      <c r="D913">
        <v>-4.6110105682900158E-2</v>
      </c>
    </row>
    <row r="914" spans="1:4" x14ac:dyDescent="0.2">
      <c r="A914" s="1">
        <v>46099</v>
      </c>
      <c r="B914">
        <v>-1.7018480043426643E-2</v>
      </c>
      <c r="C914">
        <v>-3.2633423367583521E-2</v>
      </c>
      <c r="D914">
        <v>-4.6154073426311261E-2</v>
      </c>
    </row>
    <row r="915" spans="1:4" x14ac:dyDescent="0.2">
      <c r="A915" s="1">
        <v>46100</v>
      </c>
      <c r="B915">
        <v>-3.9286480676107884E-3</v>
      </c>
      <c r="C915">
        <v>-3.2631032419085416E-2</v>
      </c>
      <c r="D915">
        <v>-4.6150691862222905E-2</v>
      </c>
    </row>
    <row r="916" spans="1:4" x14ac:dyDescent="0.2">
      <c r="A916" s="1">
        <v>46101</v>
      </c>
      <c r="B916">
        <v>-3.9038182186668519E-3</v>
      </c>
      <c r="C916">
        <v>-3.2576035855652552E-2</v>
      </c>
      <c r="D916">
        <v>-4.6072909173036927E-2</v>
      </c>
    </row>
    <row r="917" spans="1:4" x14ac:dyDescent="0.2">
      <c r="A917" s="1">
        <v>46104</v>
      </c>
      <c r="B917">
        <v>1.4014804546515736E-2</v>
      </c>
      <c r="C917">
        <v>-3.2587348519289017E-2</v>
      </c>
      <c r="D917">
        <v>-4.6088908889102373E-2</v>
      </c>
    </row>
    <row r="918" spans="1:4" x14ac:dyDescent="0.2">
      <c r="A918" s="1">
        <v>46105</v>
      </c>
      <c r="B918">
        <v>5.9626738395318244E-4</v>
      </c>
      <c r="C918">
        <v>-3.2558810754469099E-2</v>
      </c>
      <c r="D918">
        <v>-4.6048547383719211E-2</v>
      </c>
    </row>
    <row r="919" spans="1:4" x14ac:dyDescent="0.2">
      <c r="A919" s="1">
        <v>46106</v>
      </c>
      <c r="B919">
        <v>3.8868886440003949E-3</v>
      </c>
      <c r="C919">
        <v>-3.2542345275869466E-2</v>
      </c>
      <c r="D919">
        <v>-4.6025259943118006E-2</v>
      </c>
    </row>
    <row r="920" spans="1:4" x14ac:dyDescent="0.2">
      <c r="A920" s="1">
        <v>46107</v>
      </c>
      <c r="B920">
        <v>1.068228227631363E-3</v>
      </c>
      <c r="C920">
        <v>-3.2526046594271558E-2</v>
      </c>
      <c r="D920">
        <v>-4.6002208406699392E-2</v>
      </c>
    </row>
    <row r="921" spans="1:4" x14ac:dyDescent="0.2">
      <c r="A921" s="1">
        <v>46108</v>
      </c>
      <c r="B921">
        <v>-1.6305250708436279E-2</v>
      </c>
      <c r="C921">
        <v>-3.2447229248330739E-2</v>
      </c>
      <c r="D921">
        <v>-4.5890735530230257E-2</v>
      </c>
    </row>
    <row r="922" spans="1:4" x14ac:dyDescent="0.2">
      <c r="A922" s="1">
        <v>46111</v>
      </c>
      <c r="B922">
        <v>-8.7601230328726749E-3</v>
      </c>
      <c r="C922">
        <v>-3.2402752976461544E-2</v>
      </c>
      <c r="D922">
        <v>-4.5827831890165989E-2</v>
      </c>
    </row>
    <row r="923" spans="1:4" x14ac:dyDescent="0.2">
      <c r="A923" s="1">
        <v>46112</v>
      </c>
      <c r="B923">
        <v>2.8617915568660734E-2</v>
      </c>
      <c r="C923">
        <v>-3.2532143711973105E-2</v>
      </c>
      <c r="D923">
        <v>-4.601083167661859E-2</v>
      </c>
    </row>
    <row r="924" spans="1:4" x14ac:dyDescent="0.2">
      <c r="A924" s="1">
        <v>46113</v>
      </c>
      <c r="B924">
        <v>7.2239331071617657E-3</v>
      </c>
      <c r="C924">
        <v>-3.2538478887076568E-2</v>
      </c>
      <c r="D924">
        <v>-4.6019791635664269E-2</v>
      </c>
    </row>
    <row r="925" spans="1:4" x14ac:dyDescent="0.2">
      <c r="A925" s="1">
        <v>46114</v>
      </c>
      <c r="B925">
        <v>1.1338091332883499E-3</v>
      </c>
      <c r="C925">
        <v>-3.0901766864010114E-2</v>
      </c>
      <c r="D925">
        <v>-4.3704958587367705E-2</v>
      </c>
    </row>
    <row r="926" spans="1:4" x14ac:dyDescent="0.2">
      <c r="A926" s="1">
        <v>46118</v>
      </c>
      <c r="B926">
        <v>1.1422479373029577E-2</v>
      </c>
      <c r="C926">
        <v>-2.9866092359309138E-2</v>
      </c>
      <c r="D926">
        <v>-4.2240184371150777E-2</v>
      </c>
    </row>
    <row r="927" spans="1:4" x14ac:dyDescent="0.2">
      <c r="A927" s="1">
        <v>46119</v>
      </c>
      <c r="B927">
        <v>-2.0923551983054289E-2</v>
      </c>
      <c r="C927">
        <v>-2.9682508652249813E-2</v>
      </c>
      <c r="D927">
        <v>-4.1980538430850575E-2</v>
      </c>
    </row>
    <row r="928" spans="1:4" x14ac:dyDescent="0.2">
      <c r="A928" s="1">
        <v>46120</v>
      </c>
      <c r="B928">
        <v>2.1078063726254075E-2</v>
      </c>
      <c r="C928">
        <v>-2.9242858611411397E-2</v>
      </c>
      <c r="D928">
        <v>-4.135873298806355E-2</v>
      </c>
    </row>
    <row r="929" spans="1:4" x14ac:dyDescent="0.2">
      <c r="A929" s="1">
        <v>46121</v>
      </c>
      <c r="B929">
        <v>6.1225859831717522E-3</v>
      </c>
      <c r="C929">
        <v>-2.5270237889064066E-2</v>
      </c>
      <c r="D929">
        <v>-3.5740179689231953E-2</v>
      </c>
    </row>
    <row r="930" spans="1:4" x14ac:dyDescent="0.2">
      <c r="A930" s="1">
        <v>46122</v>
      </c>
      <c r="B930">
        <v>-3.838992648799145E-5</v>
      </c>
      <c r="C930">
        <v>-2.4841078582356731E-2</v>
      </c>
      <c r="D930">
        <v>-3.5133211491925664E-2</v>
      </c>
    </row>
    <row r="931" spans="1:4" x14ac:dyDescent="0.2">
      <c r="A931" s="1">
        <v>46125</v>
      </c>
      <c r="B931">
        <v>-4.9261183360560009E-3</v>
      </c>
      <c r="C931">
        <v>-2.4521171182898982E-2</v>
      </c>
      <c r="D931">
        <v>-3.4680760351943202E-2</v>
      </c>
    </row>
    <row r="932" spans="1:4" x14ac:dyDescent="0.2">
      <c r="A932" s="1">
        <v>46126</v>
      </c>
      <c r="B932">
        <v>-1.4284889404779955E-3</v>
      </c>
      <c r="C932">
        <v>-2.4426777170929746E-2</v>
      </c>
      <c r="D932">
        <v>-3.4547257099453922E-2</v>
      </c>
    </row>
    <row r="933" spans="1:4" x14ac:dyDescent="0.2">
      <c r="A933" s="1">
        <v>46127</v>
      </c>
      <c r="B933">
        <v>2.8940069400880748E-2</v>
      </c>
      <c r="C933">
        <v>-2.4597141156951618E-2</v>
      </c>
      <c r="D933">
        <v>-3.4788206136013272E-2</v>
      </c>
    </row>
    <row r="934" spans="1:4" x14ac:dyDescent="0.2">
      <c r="A934" s="1">
        <v>46128</v>
      </c>
      <c r="B934">
        <v>-1.1437755629341895E-2</v>
      </c>
      <c r="C934">
        <v>-2.4260684486066761E-2</v>
      </c>
      <c r="D934">
        <v>-3.4312349045634648E-2</v>
      </c>
    </row>
    <row r="935" spans="1:4" x14ac:dyDescent="0.2">
      <c r="A935" s="1">
        <v>46129</v>
      </c>
      <c r="B935">
        <v>2.5599658921175095E-2</v>
      </c>
      <c r="C935">
        <v>-2.4357654528599913E-2</v>
      </c>
      <c r="D935">
        <v>-3.4449495627309971E-2</v>
      </c>
    </row>
    <row r="936" spans="1:4" x14ac:dyDescent="0.2">
      <c r="A936" s="1">
        <v>46132</v>
      </c>
      <c r="B936">
        <v>1.0381480367807207E-2</v>
      </c>
      <c r="C936">
        <v>-2.4278057331261326E-2</v>
      </c>
      <c r="D936">
        <v>-3.433691979212674E-2</v>
      </c>
    </row>
    <row r="937" spans="1:4" x14ac:dyDescent="0.2">
      <c r="A937" s="1">
        <v>46133</v>
      </c>
      <c r="B937">
        <v>-2.5519726208095544E-2</v>
      </c>
      <c r="C937">
        <v>-2.4206460585586627E-2</v>
      </c>
      <c r="D937">
        <v>-3.4235659148407774E-2</v>
      </c>
    </row>
    <row r="938" spans="1:4" x14ac:dyDescent="0.2">
      <c r="A938" s="1">
        <v>46134</v>
      </c>
      <c r="B938">
        <v>2.5959109613794974E-2</v>
      </c>
      <c r="C938">
        <v>-2.4227021920441721E-2</v>
      </c>
      <c r="D938">
        <v>-3.4264739436674053E-2</v>
      </c>
    </row>
    <row r="939" spans="1:4" x14ac:dyDescent="0.2">
      <c r="A939" s="1">
        <v>46135</v>
      </c>
      <c r="B939">
        <v>9.513356004725754E-4</v>
      </c>
      <c r="C939">
        <v>-2.4161167323720929E-2</v>
      </c>
      <c r="D939">
        <v>-3.4171600023800479E-2</v>
      </c>
    </row>
    <row r="940" spans="1:4" x14ac:dyDescent="0.2">
      <c r="A940" s="1">
        <v>46136</v>
      </c>
      <c r="B940">
        <v>-8.7054490164650087E-3</v>
      </c>
      <c r="C940">
        <v>-2.4180264971156874E-2</v>
      </c>
      <c r="D940">
        <v>-3.4198610191017685E-2</v>
      </c>
    </row>
    <row r="941" spans="1:4" x14ac:dyDescent="0.2">
      <c r="A941" s="1">
        <v>46139</v>
      </c>
      <c r="B941">
        <v>-1.2809501824235157E-2</v>
      </c>
      <c r="C941">
        <v>-2.4221057500636793E-2</v>
      </c>
      <c r="D941">
        <v>-3.4256303843922378E-2</v>
      </c>
    </row>
    <row r="942" spans="1:4" x14ac:dyDescent="0.2">
      <c r="A942" s="1">
        <v>46140</v>
      </c>
      <c r="B942">
        <v>1.1517440437700144E-2</v>
      </c>
      <c r="C942">
        <v>-2.4242138822097196E-2</v>
      </c>
      <c r="D942">
        <v>-3.4286119559167674E-2</v>
      </c>
    </row>
    <row r="943" spans="1:4" x14ac:dyDescent="0.2">
      <c r="A943" s="1">
        <v>46141</v>
      </c>
      <c r="B943">
        <v>-1.9967467069029921E-3</v>
      </c>
      <c r="C943">
        <v>-2.4238318811720921E-2</v>
      </c>
      <c r="D943">
        <v>-3.4280716845593626E-2</v>
      </c>
    </row>
    <row r="944" spans="1:4" x14ac:dyDescent="0.2">
      <c r="A944" s="1">
        <v>46142</v>
      </c>
      <c r="B944">
        <v>4.3581100149818943E-3</v>
      </c>
      <c r="C944">
        <v>-2.4239031533213402E-2</v>
      </c>
      <c r="D944">
        <v>-3.428172486120161E-2</v>
      </c>
    </row>
    <row r="945" spans="1:4" x14ac:dyDescent="0.2">
      <c r="A945" s="1">
        <v>46143</v>
      </c>
      <c r="B945">
        <v>3.1879977701486747E-2</v>
      </c>
      <c r="C945">
        <v>-2.4106496527420081E-2</v>
      </c>
      <c r="D945">
        <v>-3.409427807328607E-2</v>
      </c>
    </row>
    <row r="946" spans="1:4" x14ac:dyDescent="0.2">
      <c r="A946" s="1">
        <v>46146</v>
      </c>
      <c r="B946">
        <v>-1.1885878837346778E-2</v>
      </c>
      <c r="C946">
        <v>-2.3895391380196741E-2</v>
      </c>
      <c r="D946">
        <v>-3.379570803495853E-2</v>
      </c>
    </row>
    <row r="947" spans="1:4" x14ac:dyDescent="0.2">
      <c r="A947" s="1">
        <v>46147</v>
      </c>
      <c r="B947">
        <v>2.6204240836375379E-2</v>
      </c>
      <c r="C947">
        <v>-2.403242183383231E-2</v>
      </c>
      <c r="D947">
        <v>-3.3989512820545909E-2</v>
      </c>
    </row>
    <row r="948" spans="1:4" x14ac:dyDescent="0.2">
      <c r="A948" s="1">
        <v>46148</v>
      </c>
      <c r="B948">
        <v>1.1649802031270542E-2</v>
      </c>
      <c r="C948">
        <v>-2.4017813472129338E-2</v>
      </c>
      <c r="D948">
        <v>-3.3968851935811797E-2</v>
      </c>
    </row>
    <row r="949" spans="1:4" x14ac:dyDescent="0.2">
      <c r="A949" s="1">
        <v>46149</v>
      </c>
      <c r="B949">
        <v>-2.4349943593654784E-4</v>
      </c>
      <c r="C949">
        <v>-2.4013392954274813E-2</v>
      </c>
      <c r="D949">
        <v>-3.3962599913051512E-2</v>
      </c>
    </row>
    <row r="950" spans="1:4" x14ac:dyDescent="0.2">
      <c r="A950" s="1">
        <v>46150</v>
      </c>
      <c r="B950">
        <v>2.0250020420335392E-2</v>
      </c>
      <c r="C950">
        <v>-2.4089290764951799E-2</v>
      </c>
      <c r="D950">
        <v>-3.406994363508227E-2</v>
      </c>
    </row>
    <row r="951" spans="1:4" x14ac:dyDescent="0.2">
      <c r="A951" s="1">
        <v>46153</v>
      </c>
      <c r="B951">
        <v>-2.1843012097694796E-3</v>
      </c>
      <c r="C951">
        <v>-2.3272441612028103E-2</v>
      </c>
      <c r="D951">
        <v>-3.2914658289821479E-2</v>
      </c>
    </row>
    <row r="952" spans="1:4" x14ac:dyDescent="0.2">
      <c r="A952" s="1">
        <v>46154</v>
      </c>
      <c r="B952">
        <v>7.2172982993524365E-3</v>
      </c>
      <c r="C952">
        <v>-2.3262547320322114E-2</v>
      </c>
      <c r="D952">
        <v>-3.2900664604244706E-2</v>
      </c>
    </row>
    <row r="953" spans="1:4" x14ac:dyDescent="0.2">
      <c r="A953" s="1">
        <v>46155</v>
      </c>
      <c r="B953">
        <v>1.3711535921445313E-2</v>
      </c>
      <c r="C953">
        <v>-2.329417672697123E-2</v>
      </c>
      <c r="D953">
        <v>-3.2945398677666014E-2</v>
      </c>
    </row>
    <row r="954" spans="1:4" x14ac:dyDescent="0.2">
      <c r="A954" s="1">
        <v>46156</v>
      </c>
      <c r="B954">
        <v>-2.2107599276822857E-3</v>
      </c>
      <c r="C954">
        <v>-2.3290031813688692E-2</v>
      </c>
      <c r="D954">
        <v>-3.2939536447711366E-2</v>
      </c>
    </row>
    <row r="955" spans="1:4" x14ac:dyDescent="0.2">
      <c r="A955" s="1">
        <v>46157</v>
      </c>
      <c r="B955">
        <v>6.7509112751578601E-3</v>
      </c>
      <c r="C955">
        <v>-2.3295474946509947E-2</v>
      </c>
      <c r="D955">
        <v>-3.2947234774334096E-2</v>
      </c>
    </row>
    <row r="956" spans="1:4" x14ac:dyDescent="0.2">
      <c r="A956" s="1">
        <v>46160</v>
      </c>
      <c r="B956">
        <v>-7.9924180196410833E-3</v>
      </c>
      <c r="C956">
        <v>-2.3275261518027984E-2</v>
      </c>
      <c r="D956">
        <v>-3.2918646536690577E-2</v>
      </c>
    </row>
    <row r="957" spans="1:4" x14ac:dyDescent="0.2">
      <c r="A957" s="1">
        <v>46161</v>
      </c>
      <c r="B957">
        <v>3.7868043442271168E-3</v>
      </c>
      <c r="C957">
        <v>-2.3249801622207793E-2</v>
      </c>
      <c r="D957">
        <v>-3.2882638120170025E-2</v>
      </c>
    </row>
    <row r="958" spans="1:4" x14ac:dyDescent="0.2">
      <c r="A958" s="1">
        <v>46162</v>
      </c>
      <c r="B958">
        <v>1.0911255586213623E-2</v>
      </c>
      <c r="C958">
        <v>-2.3125278463676929E-2</v>
      </c>
      <c r="D958">
        <v>-3.2706522640731275E-2</v>
      </c>
    </row>
    <row r="959" spans="1:4" x14ac:dyDescent="0.2">
      <c r="A959" s="1">
        <v>46163</v>
      </c>
      <c r="B959">
        <v>9.0244996897619837E-3</v>
      </c>
      <c r="C959">
        <v>-2.3131543751856998E-2</v>
      </c>
      <c r="D959">
        <v>-3.2715383757367517E-2</v>
      </c>
    </row>
    <row r="960" spans="1:4" x14ac:dyDescent="0.2">
      <c r="A960" s="1">
        <v>46164</v>
      </c>
      <c r="B960">
        <v>1.2479593708054054E-2</v>
      </c>
      <c r="C960">
        <v>-2.2909888789733122E-2</v>
      </c>
      <c r="D960">
        <v>-3.2401892914499526E-2</v>
      </c>
    </row>
    <row r="961" spans="1:4" x14ac:dyDescent="0.2">
      <c r="A961" s="1">
        <v>46168</v>
      </c>
      <c r="B961">
        <v>-1.5879449176507568E-3</v>
      </c>
      <c r="C961">
        <v>-2.2784774049354434E-2</v>
      </c>
      <c r="D961">
        <v>-3.2224940749563995E-2</v>
      </c>
    </row>
    <row r="962" spans="1:4" x14ac:dyDescent="0.2">
      <c r="A962" s="1">
        <v>46169</v>
      </c>
      <c r="B962">
        <v>8.1398427402792906E-3</v>
      </c>
      <c r="C962">
        <v>-2.2794379233334931E-2</v>
      </c>
      <c r="D962">
        <v>-3.2238525544567437E-2</v>
      </c>
    </row>
    <row r="963" spans="1:4" x14ac:dyDescent="0.2">
      <c r="A963" s="1">
        <v>46170</v>
      </c>
      <c r="B963">
        <v>5.3259879491204089E-3</v>
      </c>
      <c r="C963">
        <v>-2.2793299535576312E-2</v>
      </c>
      <c r="D963">
        <v>-3.2236998507423086E-2</v>
      </c>
    </row>
    <row r="964" spans="1:4" x14ac:dyDescent="0.2">
      <c r="A964" s="1">
        <v>46171</v>
      </c>
      <c r="B964">
        <v>-1.4409916514309419E-3</v>
      </c>
      <c r="C964">
        <v>-2.2794034419744615E-2</v>
      </c>
      <c r="D964">
        <v>-3.2238037868126422E-2</v>
      </c>
    </row>
    <row r="965" spans="1:4" x14ac:dyDescent="0.2">
      <c r="A965" s="1">
        <v>46174</v>
      </c>
      <c r="B965">
        <v>-1.859781597624946E-2</v>
      </c>
      <c r="C965">
        <v>-2.2890828208458568E-2</v>
      </c>
      <c r="D965">
        <v>-3.2374935170661721E-2</v>
      </c>
    </row>
    <row r="966" spans="1:4" x14ac:dyDescent="0.2">
      <c r="A966" s="1">
        <v>46175</v>
      </c>
      <c r="B966">
        <v>2.8609696946937397E-2</v>
      </c>
      <c r="C966">
        <v>-2.3053171883156066E-2</v>
      </c>
      <c r="D966">
        <v>-3.2604540927859992E-2</v>
      </c>
    </row>
    <row r="967" spans="1:4" x14ac:dyDescent="0.2">
      <c r="A967" s="1">
        <v>46176</v>
      </c>
      <c r="B967">
        <v>-1.5796702347538986E-2</v>
      </c>
      <c r="C967">
        <v>-2.3121860094793369E-2</v>
      </c>
      <c r="D967">
        <v>-3.270168797638507E-2</v>
      </c>
    </row>
    <row r="968" spans="1:4" x14ac:dyDescent="0.2">
      <c r="A968" s="1">
        <v>46177</v>
      </c>
      <c r="B968">
        <v>3.1215330500486893E-3</v>
      </c>
      <c r="C968">
        <v>-2.3085004669977285E-2</v>
      </c>
      <c r="D968">
        <v>-3.2649562645739892E-2</v>
      </c>
    </row>
    <row r="969" spans="1:4" x14ac:dyDescent="0.2">
      <c r="A969" s="1">
        <v>46178</v>
      </c>
      <c r="B969">
        <v>-1.2577562059047523E-2</v>
      </c>
      <c r="C969">
        <v>-2.3083197890906317E-2</v>
      </c>
      <c r="D969">
        <v>-3.2647007283620286E-2</v>
      </c>
    </row>
    <row r="970" spans="1:4" x14ac:dyDescent="0.2">
      <c r="A970" s="1">
        <v>46181</v>
      </c>
      <c r="B970">
        <v>-1.9051949276413717E-2</v>
      </c>
      <c r="C970">
        <v>-2.3138888734934616E-2</v>
      </c>
      <c r="D970">
        <v>-3.2725771907101638E-2</v>
      </c>
    </row>
    <row r="971" spans="1:4" x14ac:dyDescent="0.2">
      <c r="A971" s="1">
        <v>46182</v>
      </c>
      <c r="B971">
        <v>-3.7126998829657858E-2</v>
      </c>
      <c r="C971">
        <v>-2.3482619693807244E-2</v>
      </c>
      <c r="D971">
        <v>-3.3211917161799699E-2</v>
      </c>
    </row>
    <row r="972" spans="1:4" x14ac:dyDescent="0.2">
      <c r="A972" s="1">
        <v>46183</v>
      </c>
      <c r="B972">
        <v>3.5387321555611449E-3</v>
      </c>
      <c r="C972">
        <v>-2.3382571289768141E-2</v>
      </c>
      <c r="D972">
        <v>-3.3070416794700824E-2</v>
      </c>
    </row>
    <row r="973" spans="1:4" x14ac:dyDescent="0.2">
      <c r="A973" s="1">
        <v>46184</v>
      </c>
      <c r="B973">
        <v>1.3794261745732027E-2</v>
      </c>
      <c r="C973">
        <v>-2.3417210737071887E-2</v>
      </c>
      <c r="D973">
        <v>-3.3119408026061864E-2</v>
      </c>
    </row>
    <row r="974" spans="1:4" x14ac:dyDescent="0.2">
      <c r="A974" s="1">
        <v>46185</v>
      </c>
      <c r="B974">
        <v>-1.5338769612274147E-2</v>
      </c>
      <c r="C974">
        <v>-2.3428042194273274E-2</v>
      </c>
      <c r="D974">
        <v>-3.3134727162683106E-2</v>
      </c>
    </row>
    <row r="975" spans="1:4" x14ac:dyDescent="0.2">
      <c r="A975" s="1">
        <v>46188</v>
      </c>
      <c r="B975">
        <v>1.8007464718635471E-2</v>
      </c>
      <c r="C975">
        <v>-2.3474141038543402E-2</v>
      </c>
      <c r="D975">
        <v>-3.3199925637858251E-2</v>
      </c>
    </row>
    <row r="976" spans="1:4" x14ac:dyDescent="0.2">
      <c r="A976" s="1">
        <v>46189</v>
      </c>
      <c r="B976">
        <v>9.4685594754351596E-3</v>
      </c>
      <c r="C976">
        <v>-2.3430587389522514E-2</v>
      </c>
      <c r="D976">
        <v>-3.3138326880895151E-2</v>
      </c>
    </row>
    <row r="977" spans="1:4" x14ac:dyDescent="0.2">
      <c r="A977" s="1">
        <v>46190</v>
      </c>
      <c r="B977">
        <v>-1.105540586747018E-2</v>
      </c>
      <c r="C977">
        <v>-2.3465916504354083E-2</v>
      </c>
      <c r="D977">
        <v>-3.3188293522202005E-2</v>
      </c>
    </row>
    <row r="978" spans="1:4" x14ac:dyDescent="0.2">
      <c r="A978" s="1">
        <v>46191</v>
      </c>
      <c r="B978">
        <v>6.9365218526251824E-3</v>
      </c>
      <c r="C978">
        <v>-2.337389981970547E-2</v>
      </c>
      <c r="D978">
        <v>-3.3058152569109829E-2</v>
      </c>
    </row>
    <row r="979" spans="1:4" x14ac:dyDescent="0.2">
      <c r="A979" s="1">
        <v>46195</v>
      </c>
      <c r="B979">
        <v>-3.3612347198123727E-3</v>
      </c>
      <c r="C979">
        <v>-2.3379371382763244E-2</v>
      </c>
      <c r="D979">
        <v>-3.3065891105158611E-2</v>
      </c>
    </row>
    <row r="980" spans="1:4" x14ac:dyDescent="0.2">
      <c r="A980" s="1">
        <v>46196</v>
      </c>
      <c r="B980">
        <v>-9.1661530301196201E-3</v>
      </c>
      <c r="C980">
        <v>-2.3392900879457636E-2</v>
      </c>
      <c r="D980">
        <v>-3.3085026130522645E-2</v>
      </c>
    </row>
    <row r="981" spans="1:4" x14ac:dyDescent="0.2">
      <c r="A981" s="1">
        <v>46197</v>
      </c>
      <c r="B981">
        <v>-4.1540459476640439E-3</v>
      </c>
      <c r="C981">
        <v>-2.3395177386981107E-2</v>
      </c>
      <c r="D981">
        <v>-3.3088245838556657E-2</v>
      </c>
    </row>
    <row r="982" spans="1:4" x14ac:dyDescent="0.2">
      <c r="A982" s="1">
        <v>46198</v>
      </c>
      <c r="B982">
        <v>-6.3129205785995374E-2</v>
      </c>
      <c r="C982">
        <v>-2.433873665561638E-2</v>
      </c>
      <c r="D982">
        <v>-3.442273971853152E-2</v>
      </c>
    </row>
    <row r="983" spans="1:4" x14ac:dyDescent="0.2">
      <c r="A983" s="1">
        <v>46199</v>
      </c>
      <c r="B983">
        <v>3.0882886573399503E-2</v>
      </c>
      <c r="C983">
        <v>-2.4532730847515432E-2</v>
      </c>
      <c r="D983">
        <v>-3.4697109406208258E-2</v>
      </c>
    </row>
    <row r="984" spans="1:4" x14ac:dyDescent="0.2">
      <c r="A984" s="1">
        <v>46202</v>
      </c>
      <c r="B984">
        <v>-7.2146302470063942E-3</v>
      </c>
      <c r="C984">
        <v>-2.4470507651366519E-2</v>
      </c>
      <c r="D984">
        <v>-3.4609105952463061E-2</v>
      </c>
    </row>
    <row r="985" spans="1:4" x14ac:dyDescent="0.2">
      <c r="A985" s="1">
        <v>46203</v>
      </c>
      <c r="B985">
        <v>2.6686927811681731E-2</v>
      </c>
      <c r="C985">
        <v>-2.4583772835223467E-2</v>
      </c>
      <c r="D985">
        <v>-3.476929906347976E-2</v>
      </c>
    </row>
    <row r="986" spans="1:4" x14ac:dyDescent="0.2">
      <c r="A986" s="1">
        <v>46204</v>
      </c>
      <c r="B986">
        <v>1.7199862120598052E-2</v>
      </c>
      <c r="C986">
        <v>-2.4545088996797554E-2</v>
      </c>
      <c r="D986">
        <v>-3.4714587772573802E-2</v>
      </c>
    </row>
    <row r="987" spans="1:4" x14ac:dyDescent="0.2">
      <c r="A987" s="1">
        <v>46205</v>
      </c>
      <c r="B987">
        <v>4.7271698660718856E-2</v>
      </c>
      <c r="C987">
        <v>-2.5003319517770389E-2</v>
      </c>
      <c r="D987">
        <v>-3.5362671942994174E-2</v>
      </c>
    </row>
    <row r="988" spans="1:4" x14ac:dyDescent="0.2">
      <c r="A988" s="1">
        <v>46209</v>
      </c>
      <c r="B988">
        <v>1.297318972401872E-2</v>
      </c>
      <c r="C988">
        <v>-2.4956914462787413E-2</v>
      </c>
      <c r="D988">
        <v>-3.5297040388164287E-2</v>
      </c>
    </row>
    <row r="989" spans="1:4" x14ac:dyDescent="0.2">
      <c r="A989" s="1">
        <v>46210</v>
      </c>
      <c r="B989">
        <v>-6.4172715894170937E-3</v>
      </c>
      <c r="C989">
        <v>-2.4970503376721489E-2</v>
      </c>
      <c r="D989">
        <v>-3.5316259448464296E-2</v>
      </c>
    </row>
    <row r="990" spans="1:4" x14ac:dyDescent="0.2">
      <c r="A990" s="1">
        <v>46211</v>
      </c>
      <c r="B990">
        <v>8.7493547484261865E-3</v>
      </c>
      <c r="C990">
        <v>-2.4978555192788989E-2</v>
      </c>
      <c r="D990">
        <v>-3.5327647285584803E-2</v>
      </c>
    </row>
    <row r="991" spans="1:4" x14ac:dyDescent="0.2">
      <c r="A991" s="1">
        <v>46212</v>
      </c>
      <c r="B991">
        <v>8.9897525738118558E-3</v>
      </c>
      <c r="C991">
        <v>-2.4986230536986547E-2</v>
      </c>
      <c r="D991">
        <v>-3.5338502671355278E-2</v>
      </c>
    </row>
    <row r="992" spans="1:4" x14ac:dyDescent="0.2">
      <c r="A992" s="1">
        <v>46213</v>
      </c>
      <c r="B992">
        <v>-2.8501776902917029E-3</v>
      </c>
      <c r="C992">
        <v>-2.4978287561240806E-2</v>
      </c>
      <c r="D992">
        <v>-3.5327268769178882E-2</v>
      </c>
    </row>
    <row r="993" spans="1:4" x14ac:dyDescent="0.2">
      <c r="A993" s="1">
        <v>46216</v>
      </c>
      <c r="B993">
        <v>6.2912178163637743E-3</v>
      </c>
      <c r="C993">
        <v>-2.4941771660480269E-2</v>
      </c>
      <c r="D993">
        <v>-3.5275623633884742E-2</v>
      </c>
    </row>
    <row r="994" spans="1:4" x14ac:dyDescent="0.2">
      <c r="A994" s="1">
        <v>46217</v>
      </c>
      <c r="B994">
        <v>-7.7511184215881841E-3</v>
      </c>
      <c r="C994">
        <v>-2.4960994608021692E-2</v>
      </c>
      <c r="D994">
        <v>-3.5302811015432284E-2</v>
      </c>
    </row>
    <row r="995" spans="1:4" x14ac:dyDescent="0.2">
      <c r="A995" s="1">
        <v>46218</v>
      </c>
      <c r="B995">
        <v>3.9359959488823669E-2</v>
      </c>
      <c r="C995">
        <v>-2.5265179497044179E-2</v>
      </c>
      <c r="D995">
        <v>-3.5733025508866777E-2</v>
      </c>
    </row>
    <row r="996" spans="1:4" x14ac:dyDescent="0.2">
      <c r="A996" s="1">
        <v>46219</v>
      </c>
      <c r="B996">
        <v>1.7434911035170787E-2</v>
      </c>
      <c r="C996">
        <v>-2.5316204701004132E-2</v>
      </c>
      <c r="D996">
        <v>-3.5805191428563067E-2</v>
      </c>
    </row>
    <row r="997" spans="1:4" x14ac:dyDescent="0.2">
      <c r="A997" s="1">
        <v>46220</v>
      </c>
      <c r="B997">
        <v>1.4392806082794219E-3</v>
      </c>
      <c r="C997">
        <v>-2.5313366759992666E-2</v>
      </c>
      <c r="D997">
        <v>-3.5801177674432916E-2</v>
      </c>
    </row>
    <row r="998" spans="1:4" x14ac:dyDescent="0.2">
      <c r="A998" s="1">
        <v>46223</v>
      </c>
      <c r="B998">
        <v>-2.1656685144717837E-2</v>
      </c>
      <c r="C998">
        <v>-2.5427019646398874E-2</v>
      </c>
      <c r="D998">
        <v>-3.5961919120563721E-2</v>
      </c>
    </row>
    <row r="999" spans="1:4" x14ac:dyDescent="0.2">
      <c r="A999" s="1">
        <v>46224</v>
      </c>
      <c r="B999">
        <v>3.5150495440390526E-3</v>
      </c>
      <c r="C999">
        <v>-2.5416385289086341E-2</v>
      </c>
      <c r="D999">
        <v>-3.5946878746076626E-2</v>
      </c>
    </row>
    <row r="1000" spans="1:4" x14ac:dyDescent="0.2">
      <c r="A1000" s="1">
        <v>46225</v>
      </c>
      <c r="B1000">
        <v>-5.6607100043088191E-3</v>
      </c>
      <c r="C1000">
        <v>-2.5426204814511841E-2</v>
      </c>
      <c r="D1000">
        <v>-3.5960766688276101E-2</v>
      </c>
    </row>
    <row r="1001" spans="1:4" x14ac:dyDescent="0.2">
      <c r="A1001" s="1">
        <v>46226</v>
      </c>
      <c r="B1001">
        <v>-1.3064814046267722E-2</v>
      </c>
      <c r="C1001">
        <v>-2.546995324531294E-2</v>
      </c>
      <c r="D1001">
        <v>-3.6022640928828065E-2</v>
      </c>
    </row>
    <row r="1002" spans="1:4" x14ac:dyDescent="0.2">
      <c r="A1002" s="1">
        <v>46227</v>
      </c>
      <c r="B1002">
        <v>3.4707461169469225E-2</v>
      </c>
      <c r="C1002">
        <v>-2.5700802434239292E-2</v>
      </c>
      <c r="D1002">
        <v>-3.6349135342120149E-2</v>
      </c>
    </row>
    <row r="1003" spans="1:4" x14ac:dyDescent="0.2">
      <c r="A1003" s="1">
        <v>46230</v>
      </c>
      <c r="B1003">
        <v>1.1613284133360819E-2</v>
      </c>
      <c r="C1003">
        <v>-2.5720913948055563E-2</v>
      </c>
      <c r="D1003">
        <v>-3.6377579439907097E-2</v>
      </c>
    </row>
    <row r="1004" spans="1:4" x14ac:dyDescent="0.2">
      <c r="A1004" s="1">
        <v>46231</v>
      </c>
      <c r="B1004">
        <v>9.3650516802032211E-3</v>
      </c>
      <c r="C1004">
        <v>-2.5685595649659172E-2</v>
      </c>
      <c r="D1004">
        <v>-3.6327628096490927E-2</v>
      </c>
    </row>
    <row r="1005" spans="1:4" x14ac:dyDescent="0.2">
      <c r="A1005" s="1">
        <v>46232</v>
      </c>
      <c r="B1005">
        <v>-5.5730163259850177E-3</v>
      </c>
      <c r="C1005">
        <v>-2.5664494300121226E-2</v>
      </c>
      <c r="D1005">
        <v>-3.6297784055153354E-2</v>
      </c>
    </row>
    <row r="1006" spans="1:4" x14ac:dyDescent="0.2">
      <c r="A1006" s="1">
        <v>46233</v>
      </c>
      <c r="B1006">
        <v>-1.8292192244909272E-2</v>
      </c>
      <c r="C1006">
        <v>-2.5733602845081395E-2</v>
      </c>
      <c r="D1006">
        <v>-3.6395525589118363E-2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Historical and Parametric VaR</vt:lpstr>
      <vt:lpstr>Chart</vt:lpstr>
      <vt:lpstr>Data!aapl_us_d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Becze Gergő Vajk</dc:creator>
  <cp:lastModifiedBy>Becze Gergő Vajk</cp:lastModifiedBy>
  <dcterms:created xsi:type="dcterms:W3CDTF">2026-07-30T14:36:04Z</dcterms:created>
  <dcterms:modified xsi:type="dcterms:W3CDTF">2026-08-01T09:38:35Z</dcterms:modified>
</cp:coreProperties>
</file>